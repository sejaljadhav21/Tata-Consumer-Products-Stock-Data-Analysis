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anudip material\"/>
    </mc:Choice>
  </mc:AlternateContent>
  <xr:revisionPtr revIDLastSave="0" documentId="13_ncr:1_{FB48189E-32AA-4D3D-8CA1-57729DBAC06A}" xr6:coauthVersionLast="47" xr6:coauthVersionMax="47" xr10:uidLastSave="{00000000-0000-0000-0000-000000000000}"/>
  <bookViews>
    <workbookView xWindow="-110" yWindow="-110" windowWidth="19420" windowHeight="10300" activeTab="2" xr2:uid="{8373A0A3-07B9-4668-8676-873E76215D72}"/>
  </bookViews>
  <sheets>
    <sheet name="Quote-Equity-TATACONSUM-EQ-26-0" sheetId="1" r:id="rId1"/>
    <sheet name="pivotTables" sheetId="2" r:id="rId2"/>
    <sheet name="Dashboard" sheetId="3" r:id="rId3"/>
  </sheets>
  <definedNames>
    <definedName name="_xlcn.WorksheetConnection_QuoteEquityTATACONSUMEQ2601202526012026.csv.xlsxTable11" hidden="1">Table1[]</definedName>
    <definedName name="Slicer_Day">#N/A</definedName>
    <definedName name="Slicer_Month">#N/A</definedName>
    <definedName name="Slicer_Quarter">#N/A</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TA" connection="WorksheetConnection_Quote-Equity-TATACONSUM-EQ-26-01-2025-26-01-2026.csv.xlsx!Table1"/>
        </x15:modelTables>
        <x15:extLst>
          <ext xmlns:x16="http://schemas.microsoft.com/office/spreadsheetml/2014/11/main" uri="{9835A34E-60A6-4A7C-AAB8-D5F71C897F49}">
            <x16:modelTimeGroupings>
              <x16:modelTimeGrouping tableName="T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E2"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532F67-BB37-4FED-8FF9-F9FD5218A4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7BD3AA-B783-4268-88CB-F396DD3203E5}" name="WorksheetConnection_Quote-Equity-TATACONSUM-EQ-26-01-2025-26-01-2026.csv.xlsx!Table1" type="102" refreshedVersion="8" minRefreshableVersion="5">
    <extLst>
      <ext xmlns:x15="http://schemas.microsoft.com/office/spreadsheetml/2010/11/main" uri="{DE250136-89BD-433C-8126-D09CA5730AF9}">
        <x15:connection id="Table1">
          <x15:rangePr sourceName="_xlcn.WorksheetConnection_QuoteEquityTATACONSUMEQ2601202526012026.csv.xlsxTable11"/>
        </x15:connection>
      </ext>
    </extLst>
  </connection>
</connections>
</file>

<file path=xl/sharedStrings.xml><?xml version="1.0" encoding="utf-8"?>
<sst xmlns="http://schemas.openxmlformats.org/spreadsheetml/2006/main" count="333" uniqueCount="61">
  <si>
    <t>DATE</t>
  </si>
  <si>
    <t>SERIES</t>
  </si>
  <si>
    <t>OPEN</t>
  </si>
  <si>
    <t>HIGH</t>
  </si>
  <si>
    <t>LOW</t>
  </si>
  <si>
    <t>PREV. CLOSE</t>
  </si>
  <si>
    <t>LTP</t>
  </si>
  <si>
    <t>CLOSE</t>
  </si>
  <si>
    <t>VWAP</t>
  </si>
  <si>
    <t>52W H</t>
  </si>
  <si>
    <t>52W L</t>
  </si>
  <si>
    <t>VOLUME</t>
  </si>
  <si>
    <t>NO. OF  TRADES</t>
  </si>
  <si>
    <t>EQ</t>
  </si>
  <si>
    <t>Day</t>
  </si>
  <si>
    <t>Month</t>
  </si>
  <si>
    <t>Year</t>
  </si>
  <si>
    <t>Quarter</t>
  </si>
  <si>
    <t>Sum of VOLUME</t>
  </si>
  <si>
    <t>Row Labels</t>
  </si>
  <si>
    <t>Grand Total</t>
  </si>
  <si>
    <t>Q4</t>
  </si>
  <si>
    <t>Wednesday</t>
  </si>
  <si>
    <t>December</t>
  </si>
  <si>
    <t>November</t>
  </si>
  <si>
    <t>October</t>
  </si>
  <si>
    <t>Oct</t>
  </si>
  <si>
    <t>Nov</t>
  </si>
  <si>
    <t>Dec</t>
  </si>
  <si>
    <t>Q1</t>
  </si>
  <si>
    <t>Q2</t>
  </si>
  <si>
    <t>Q3</t>
  </si>
  <si>
    <t>April</t>
  </si>
  <si>
    <t>August</t>
  </si>
  <si>
    <t>February</t>
  </si>
  <si>
    <t>January</t>
  </si>
  <si>
    <t>July</t>
  </si>
  <si>
    <t>June</t>
  </si>
  <si>
    <t>March</t>
  </si>
  <si>
    <t>May</t>
  </si>
  <si>
    <t>September</t>
  </si>
  <si>
    <t>Jan</t>
  </si>
  <si>
    <t>Feb</t>
  </si>
  <si>
    <t>Mar</t>
  </si>
  <si>
    <t>Apr</t>
  </si>
  <si>
    <t>Jun</t>
  </si>
  <si>
    <t>Jul</t>
  </si>
  <si>
    <t>Aug</t>
  </si>
  <si>
    <t>Sep</t>
  </si>
  <si>
    <t>Max of 52W H</t>
  </si>
  <si>
    <t>Daily Range</t>
  </si>
  <si>
    <t>Average of Daily Range</t>
  </si>
  <si>
    <t>Average of OPEN</t>
  </si>
  <si>
    <t>Average of CLOSE</t>
  </si>
  <si>
    <t>Tuesday</t>
  </si>
  <si>
    <t>Friday</t>
  </si>
  <si>
    <t>Monday</t>
  </si>
  <si>
    <t>Thursday</t>
  </si>
  <si>
    <t>Min of 52W L</t>
  </si>
  <si>
    <t>Max of CLOSE</t>
  </si>
  <si>
    <t>Average of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</si>
</sst>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2" fontId="0" fillId="0" borderId="0" xfId="0" applyNumberFormat="1"/>
    <xf numFmtId="0" fontId="0" fillId="0" borderId="0" xfId="0" pivotButton="1"/>
    <xf numFmtId="0" fontId="0" fillId="0" borderId="0" xfId="0" applyAlignment="1">
      <alignment horizontal="left"/>
    </xf>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4" formatCode="#,##0.00"/>
    </dxf>
    <dxf>
      <numFmt numFmtId="4" formatCode="#,##0.00"/>
    </dxf>
    <dxf>
      <numFmt numFmtId="4" formatCode="#,##0.0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0" formatCode="dd/mmm/yy"/>
    </dxf>
    <dxf>
      <numFmt numFmtId="20" formatCode="dd/mmm/yy"/>
    </dxf>
    <dxf>
      <numFmt numFmtId="20" formatCode="dd/mmm/yy"/>
    </dxf>
    <dxf>
      <numFmt numFmtId="20" formatCode="dd/mmm/yy"/>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solidFill>
              </a:rPr>
              <a:t>Quarter-wise 52-Week High vs Low Price</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pivotTables!$E$3</c:f>
              <c:strCache>
                <c:ptCount val="1"/>
                <c:pt idx="0">
                  <c:v>Max of 52W H</c:v>
                </c:pt>
              </c:strCache>
            </c:strRef>
          </c:tx>
          <c:spPr>
            <a:solidFill>
              <a:schemeClr val="accent1"/>
            </a:solidFill>
            <a:ln>
              <a:noFill/>
            </a:ln>
            <a:effectLst/>
            <a:sp3d/>
          </c:spPr>
          <c:invertIfNegative val="0"/>
          <c:cat>
            <c:strRef>
              <c:f>pivotTables!$D$4:$D$8</c:f>
              <c:strCache>
                <c:ptCount val="4"/>
                <c:pt idx="0">
                  <c:v>Q1</c:v>
                </c:pt>
                <c:pt idx="1">
                  <c:v>Q2</c:v>
                </c:pt>
                <c:pt idx="2">
                  <c:v>Q3</c:v>
                </c:pt>
                <c:pt idx="3">
                  <c:v>Q4</c:v>
                </c:pt>
              </c:strCache>
            </c:strRef>
          </c:cat>
          <c:val>
            <c:numRef>
              <c:f>pivotTables!$E$4:$E$8</c:f>
              <c:numCache>
                <c:formatCode>General</c:formatCode>
                <c:ptCount val="4"/>
                <c:pt idx="0">
                  <c:v>1269</c:v>
                </c:pt>
                <c:pt idx="1">
                  <c:v>1262.5999999999999</c:v>
                </c:pt>
                <c:pt idx="2">
                  <c:v>1262.5999999999999</c:v>
                </c:pt>
                <c:pt idx="3">
                  <c:v>1213.6500000000001</c:v>
                </c:pt>
              </c:numCache>
            </c:numRef>
          </c:val>
          <c:extLst>
            <c:ext xmlns:c16="http://schemas.microsoft.com/office/drawing/2014/chart" uri="{C3380CC4-5D6E-409C-BE32-E72D297353CC}">
              <c16:uniqueId val="{00000011-1C42-4398-879E-034664228619}"/>
            </c:ext>
          </c:extLst>
        </c:ser>
        <c:ser>
          <c:idx val="1"/>
          <c:order val="1"/>
          <c:tx>
            <c:strRef>
              <c:f>pivotTables!$F$3</c:f>
              <c:strCache>
                <c:ptCount val="1"/>
                <c:pt idx="0">
                  <c:v>Min of 52W L</c:v>
                </c:pt>
              </c:strCache>
            </c:strRef>
          </c:tx>
          <c:spPr>
            <a:solidFill>
              <a:schemeClr val="accent2"/>
            </a:solidFill>
            <a:ln>
              <a:noFill/>
            </a:ln>
            <a:effectLst/>
            <a:sp3d/>
          </c:spPr>
          <c:invertIfNegative val="0"/>
          <c:cat>
            <c:strRef>
              <c:f>pivotTables!$D$4:$D$8</c:f>
              <c:strCache>
                <c:ptCount val="4"/>
                <c:pt idx="0">
                  <c:v>Q1</c:v>
                </c:pt>
                <c:pt idx="1">
                  <c:v>Q2</c:v>
                </c:pt>
                <c:pt idx="2">
                  <c:v>Q3</c:v>
                </c:pt>
                <c:pt idx="3">
                  <c:v>Q4</c:v>
                </c:pt>
              </c:strCache>
            </c:strRef>
          </c:cat>
          <c:val>
            <c:numRef>
              <c:f>pivotTables!$F$4:$F$8</c:f>
              <c:numCache>
                <c:formatCode>General</c:formatCode>
                <c:ptCount val="4"/>
                <c:pt idx="0">
                  <c:v>882.9</c:v>
                </c:pt>
                <c:pt idx="1">
                  <c:v>882.9</c:v>
                </c:pt>
                <c:pt idx="2">
                  <c:v>882.9</c:v>
                </c:pt>
                <c:pt idx="3">
                  <c:v>882.9</c:v>
                </c:pt>
              </c:numCache>
            </c:numRef>
          </c:val>
          <c:extLst>
            <c:ext xmlns:c16="http://schemas.microsoft.com/office/drawing/2014/chart" uri="{C3380CC4-5D6E-409C-BE32-E72D297353CC}">
              <c16:uniqueId val="{00000012-1C42-4398-879E-034664228619}"/>
            </c:ext>
          </c:extLst>
        </c:ser>
        <c:dLbls>
          <c:showLegendKey val="0"/>
          <c:showVal val="0"/>
          <c:showCatName val="0"/>
          <c:showSerName val="0"/>
          <c:showPercent val="0"/>
          <c:showBubbleSize val="0"/>
        </c:dLbls>
        <c:gapWidth val="150"/>
        <c:shape val="box"/>
        <c:axId val="895739327"/>
        <c:axId val="895731647"/>
        <c:axId val="0"/>
      </c:bar3DChart>
      <c:catAx>
        <c:axId val="8957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31647"/>
        <c:crosses val="autoZero"/>
        <c:auto val="1"/>
        <c:lblAlgn val="ctr"/>
        <c:lblOffset val="100"/>
        <c:noMultiLvlLbl val="0"/>
      </c:catAx>
      <c:valAx>
        <c:axId val="8957316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957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pivotTables!$B$40</c:f>
              <c:strCache>
                <c:ptCount val="1"/>
                <c:pt idx="0">
                  <c:v>Average of OPEN</c:v>
                </c:pt>
              </c:strCache>
            </c:strRef>
          </c:tx>
          <c:spPr>
            <a:ln w="28575" cap="rnd">
              <a:solidFill>
                <a:schemeClr val="accent1"/>
              </a:solidFill>
              <a:round/>
            </a:ln>
            <a:effectLst/>
          </c:spPr>
          <c:marker>
            <c:symbol val="none"/>
          </c:marker>
          <c:cat>
            <c:strRef>
              <c:f>pivotTables!$A$41:$A$53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pivotTables!$B$41:$B$53</c:f>
              <c:numCache>
                <c:formatCode>General</c:formatCode>
                <c:ptCount val="12"/>
                <c:pt idx="0">
                  <c:v>1133.7</c:v>
                </c:pt>
                <c:pt idx="1">
                  <c:v>1020.9684210526317</c:v>
                </c:pt>
                <c:pt idx="2">
                  <c:v>958.39210526315799</c:v>
                </c:pt>
                <c:pt idx="3">
                  <c:v>1098.7815789473684</c:v>
                </c:pt>
                <c:pt idx="4">
                  <c:v>1136.5952380952381</c:v>
                </c:pt>
                <c:pt idx="5">
                  <c:v>1103.1904761904761</c:v>
                </c:pt>
                <c:pt idx="6">
                  <c:v>1084.2565217391304</c:v>
                </c:pt>
                <c:pt idx="7">
                  <c:v>1068.6000000000001</c:v>
                </c:pt>
                <c:pt idx="8">
                  <c:v>1106.2227272727273</c:v>
                </c:pt>
                <c:pt idx="9">
                  <c:v>1144.7714285714287</c:v>
                </c:pt>
                <c:pt idx="10">
                  <c:v>1170.4421052631581</c:v>
                </c:pt>
                <c:pt idx="11">
                  <c:v>1164.2090909090909</c:v>
                </c:pt>
              </c:numCache>
            </c:numRef>
          </c:val>
          <c:smooth val="0"/>
          <c:extLst>
            <c:ext xmlns:c16="http://schemas.microsoft.com/office/drawing/2014/chart" uri="{C3380CC4-5D6E-409C-BE32-E72D297353CC}">
              <c16:uniqueId val="{0000000D-A921-44EF-8624-062409DC5114}"/>
            </c:ext>
          </c:extLst>
        </c:ser>
        <c:ser>
          <c:idx val="1"/>
          <c:order val="1"/>
          <c:tx>
            <c:strRef>
              <c:f>pivotTables!$C$40</c:f>
              <c:strCache>
                <c:ptCount val="1"/>
                <c:pt idx="0">
                  <c:v>Average of CLOSE</c:v>
                </c:pt>
              </c:strCache>
            </c:strRef>
          </c:tx>
          <c:spPr>
            <a:ln w="28575" cap="rnd">
              <a:solidFill>
                <a:schemeClr val="accent2"/>
              </a:solidFill>
              <a:round/>
            </a:ln>
            <a:effectLst/>
          </c:spPr>
          <c:marker>
            <c:symbol val="none"/>
          </c:marker>
          <c:cat>
            <c:strRef>
              <c:f>pivotTables!$A$41:$A$53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pivotTables!$C$41:$C$53</c:f>
              <c:numCache>
                <c:formatCode>General</c:formatCode>
                <c:ptCount val="12"/>
                <c:pt idx="0">
                  <c:v>1133.5523809523809</c:v>
                </c:pt>
                <c:pt idx="1">
                  <c:v>1016.5315789473683</c:v>
                </c:pt>
                <c:pt idx="2">
                  <c:v>959.71578947368414</c:v>
                </c:pt>
                <c:pt idx="3">
                  <c:v>1108.5657894736842</c:v>
                </c:pt>
                <c:pt idx="4">
                  <c:v>1135.9714285714285</c:v>
                </c:pt>
                <c:pt idx="5">
                  <c:v>1105.3285714285714</c:v>
                </c:pt>
                <c:pt idx="6">
                  <c:v>1082.8434782608697</c:v>
                </c:pt>
                <c:pt idx="7">
                  <c:v>1068.4894736842105</c:v>
                </c:pt>
                <c:pt idx="8">
                  <c:v>1108.3500000000001</c:v>
                </c:pt>
                <c:pt idx="9">
                  <c:v>1147.5857142857142</c:v>
                </c:pt>
                <c:pt idx="10">
                  <c:v>1171.5315789473684</c:v>
                </c:pt>
                <c:pt idx="11">
                  <c:v>1165.8818181818183</c:v>
                </c:pt>
              </c:numCache>
            </c:numRef>
          </c:val>
          <c:smooth val="0"/>
          <c:extLst>
            <c:ext xmlns:c16="http://schemas.microsoft.com/office/drawing/2014/chart" uri="{C3380CC4-5D6E-409C-BE32-E72D297353CC}">
              <c16:uniqueId val="{0000000E-A921-44EF-8624-062409DC5114}"/>
            </c:ext>
          </c:extLst>
        </c:ser>
        <c:dLbls>
          <c:showLegendKey val="0"/>
          <c:showVal val="0"/>
          <c:showCatName val="0"/>
          <c:showSerName val="0"/>
          <c:showPercent val="0"/>
          <c:showBubbleSize val="0"/>
        </c:dLbls>
        <c:smooth val="0"/>
        <c:axId val="2100700287"/>
        <c:axId val="2100701247"/>
      </c:lineChart>
      <c:catAx>
        <c:axId val="210070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01247"/>
        <c:crosses val="autoZero"/>
        <c:auto val="1"/>
        <c:lblAlgn val="ctr"/>
        <c:lblOffset val="100"/>
        <c:noMultiLvlLbl val="0"/>
      </c:catAx>
      <c:valAx>
        <c:axId val="210070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0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[Quote-Equity-TATACONSUM-EQ-26-01-2025-26-01-2026.csv.xlsx]pivotTables!PivotTable11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pivotTables!$I$66</c:f>
              <c:strCache>
                <c:ptCount val="1"/>
                <c:pt idx="0">
                  <c:v>Average of OPEN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pivotTables!$H$67:$H$72</c:f>
              <c:strCache>
                <c:ptCount val="5"/>
                <c:pt idx="0">
                  <c:v>Friday</c:v>
                </c:pt>
                <c:pt idx="1">
                  <c:v>Monday</c:v>
                </c:pt>
                <c:pt idx="2">
                  <c:v>Thursday</c:v>
                </c:pt>
                <c:pt idx="3">
                  <c:v>Tuesday</c:v>
                </c:pt>
                <c:pt idx="4">
                  <c:v>Wednesday</c:v>
                </c:pt>
              </c:strCache>
            </c:strRef>
          </c:cat>
          <c:val>
            <c:numRef>
              <c:f>pivotTables!$I$67:$I$72</c:f>
              <c:numCache>
                <c:formatCode>General</c:formatCode>
                <c:ptCount val="5"/>
                <c:pt idx="0">
                  <c:v>1106.0765306122448</c:v>
                </c:pt>
                <c:pt idx="1">
                  <c:v>1099.1510000000001</c:v>
                </c:pt>
                <c:pt idx="2">
                  <c:v>1098.9978723404256</c:v>
                </c:pt>
                <c:pt idx="3">
                  <c:v>1101.375</c:v>
                </c:pt>
                <c:pt idx="4">
                  <c:v>1098.2833333333333</c:v>
                </c:pt>
              </c:numCache>
            </c:numRef>
          </c:val>
          <c:smooth val="0"/>
          <c:extLst>
            <c:ext xmlns:c16="http://schemas.microsoft.com/office/drawing/2014/chart" uri="{C3380CC4-5D6E-409C-BE32-E72D297353CC}">
              <c16:uniqueId val="{0000000D-50F6-4488-885B-D5F8EEAE4CCD}"/>
            </c:ext>
          </c:extLst>
        </c:ser>
        <c:ser>
          <c:idx val="1"/>
          <c:order val="1"/>
          <c:tx>
            <c:strRef>
              <c:f>pivotTables!$J$66</c:f>
              <c:strCache>
                <c:ptCount val="1"/>
                <c:pt idx="0">
                  <c:v>Average of CLOSE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pivotTables!$H$67:$H$72</c:f>
              <c:strCache>
                <c:ptCount val="5"/>
                <c:pt idx="0">
                  <c:v>Friday</c:v>
                </c:pt>
                <c:pt idx="1">
                  <c:v>Monday</c:v>
                </c:pt>
                <c:pt idx="2">
                  <c:v>Thursday</c:v>
                </c:pt>
                <c:pt idx="3">
                  <c:v>Tuesday</c:v>
                </c:pt>
                <c:pt idx="4">
                  <c:v>Wednesday</c:v>
                </c:pt>
              </c:strCache>
            </c:strRef>
          </c:cat>
          <c:val>
            <c:numRef>
              <c:f>pivotTables!$J$67:$J$72</c:f>
              <c:numCache>
                <c:formatCode>General</c:formatCode>
                <c:ptCount val="5"/>
                <c:pt idx="0">
                  <c:v>1106.295918367347</c:v>
                </c:pt>
                <c:pt idx="1">
                  <c:v>1103.144</c:v>
                </c:pt>
                <c:pt idx="2">
                  <c:v>1097.7446808510638</c:v>
                </c:pt>
                <c:pt idx="3">
                  <c:v>1100.1288461538461</c:v>
                </c:pt>
                <c:pt idx="4">
                  <c:v>1102.3989583333334</c:v>
                </c:pt>
              </c:numCache>
            </c:numRef>
          </c:val>
          <c:smooth val="0"/>
          <c:extLst>
            <c:ext xmlns:c16="http://schemas.microsoft.com/office/drawing/2014/chart" uri="{C3380CC4-5D6E-409C-BE32-E72D297353CC}">
              <c16:uniqueId val="{0000000E-50F6-4488-885B-D5F8EEAE4CCD}"/>
            </c:ext>
          </c:extLst>
        </c:ser>
        <c:dLbls>
          <c:showLegendKey val="0"/>
          <c:showVal val="0"/>
          <c:showCatName val="0"/>
          <c:showSerName val="0"/>
          <c:showPercent val="0"/>
          <c:showBubbleSize val="0"/>
        </c:dLbls>
        <c:marker val="1"/>
        <c:smooth val="0"/>
        <c:axId val="2100683487"/>
        <c:axId val="2100680127"/>
      </c:lineChart>
      <c:catAx>
        <c:axId val="210068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680127"/>
        <c:crosses val="autoZero"/>
        <c:auto val="1"/>
        <c:lblAlgn val="ctr"/>
        <c:lblOffset val="100"/>
        <c:noMultiLvlLbl val="0"/>
      </c:catAx>
      <c:valAx>
        <c:axId val="210068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68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[Quote-Equity-TATACONSUM-EQ-26-01-2025-26-01-2026.csv.xlsx]pivotTables!PivotTable8</c:name>
    <c:fmtId val="4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r>
              <a:rPr lang="en-IN" sz="1600" b="1" i="0" u="none" strike="noStrike" baseline="0"/>
              <a:t>Monthly Trading Volume and Average Daily Price Range</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pivotTables!$F$10</c:f>
              <c:strCache>
                <c:ptCount val="1"/>
                <c:pt idx="0">
                  <c:v>Sum of VOLUME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pivotTables!$E$11:$E$23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pivotTables!$F$11:$F$23</c:f>
              <c:numCache>
                <c:formatCode>General</c:formatCode>
                <c:ptCount val="12"/>
                <c:pt idx="0">
                  <c:v>41983897</c:v>
                </c:pt>
                <c:pt idx="1">
                  <c:v>14161536</c:v>
                </c:pt>
                <c:pt idx="2">
                  <c:v>18708508</c:v>
                </c:pt>
                <c:pt idx="3">
                  <c:v>28015615</c:v>
                </c:pt>
                <c:pt idx="4">
                  <c:v>27999285</c:v>
                </c:pt>
                <c:pt idx="5">
                  <c:v>27808575</c:v>
                </c:pt>
                <c:pt idx="6">
                  <c:v>21936933</c:v>
                </c:pt>
                <c:pt idx="7">
                  <c:v>36205046</c:v>
                </c:pt>
                <c:pt idx="8">
                  <c:v>27302754</c:v>
                </c:pt>
                <c:pt idx="9">
                  <c:v>36603297</c:v>
                </c:pt>
                <c:pt idx="10">
                  <c:v>24032443</c:v>
                </c:pt>
                <c:pt idx="11">
                  <c:v>27171262</c:v>
                </c:pt>
              </c:numCache>
            </c:numRef>
          </c:val>
          <c:extLst>
            <c:ext xmlns:c16="http://schemas.microsoft.com/office/drawing/2014/chart" uri="{C3380CC4-5D6E-409C-BE32-E72D297353CC}">
              <c16:uniqueId val="{0000000D-44A1-43F7-AEBB-7797982B3541}"/>
            </c:ext>
          </c:extLst>
        </c:ser>
        <c:dLbls>
          <c:showLegendKey val="0"/>
          <c:showVal val="0"/>
          <c:showCatName val="0"/>
          <c:showSerName val="0"/>
          <c:showPercent val="0"/>
          <c:showBubbleSize val="0"/>
        </c:dLbls>
        <c:gapWidth val="150"/>
        <c:axId val="2098290703"/>
        <c:axId val="2098291183"/>
      </c:barChart>
      <c:lineChart>
        <c:grouping val="standard"/>
        <c:varyColors val="0"/>
        <c:ser>
          <c:idx val="1"/>
          <c:order val="1"/>
          <c:tx>
            <c:strRef>
              <c:f>pivotTables!$G$10</c:f>
              <c:strCache>
                <c:ptCount val="1"/>
                <c:pt idx="0">
                  <c:v>Average of Daily Range</c:v>
                </c:pt>
              </c:strCache>
            </c:strRef>
          </c:tx>
          <c:spPr>
            <a:ln w="31750" cap="rnd">
              <a:solidFill>
                <a:schemeClr val="accent2"/>
              </a:solidFill>
              <a:round/>
            </a:ln>
            <a:effectLst/>
          </c:spPr>
          <c:marker>
            <c:symbol val="none"/>
          </c:marker>
          <c:cat>
            <c:strRef>
              <c:f>pivotTables!$E$11:$E$23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pivotTables!$G$11:$G$23</c:f>
              <c:numCache>
                <c:formatCode>General</c:formatCode>
                <c:ptCount val="12"/>
                <c:pt idx="0">
                  <c:v>33.19736842105263</c:v>
                </c:pt>
                <c:pt idx="1">
                  <c:v>19.578947368421076</c:v>
                </c:pt>
                <c:pt idx="2">
                  <c:v>20.404545454545481</c:v>
                </c:pt>
                <c:pt idx="3">
                  <c:v>22.539473684210531</c:v>
                </c:pt>
                <c:pt idx="4">
                  <c:v>27.64285714285716</c:v>
                </c:pt>
                <c:pt idx="5">
                  <c:v>21.891304347826086</c:v>
                </c:pt>
                <c:pt idx="6">
                  <c:v>20.919047619047639</c:v>
                </c:pt>
                <c:pt idx="7">
                  <c:v>20.265789473684208</c:v>
                </c:pt>
                <c:pt idx="8">
                  <c:v>26.319047619047609</c:v>
                </c:pt>
                <c:pt idx="9">
                  <c:v>27.05263157894737</c:v>
                </c:pt>
                <c:pt idx="10">
                  <c:v>21.966666666666697</c:v>
                </c:pt>
                <c:pt idx="11">
                  <c:v>22.00454545454544</c:v>
                </c:pt>
              </c:numCache>
            </c:numRef>
          </c:val>
          <c:smooth val="0"/>
          <c:extLst>
            <c:ext xmlns:c16="http://schemas.microsoft.com/office/drawing/2014/chart" uri="{C3380CC4-5D6E-409C-BE32-E72D297353CC}">
              <c16:uniqueId val="{0000000E-44A1-43F7-AEBB-7797982B3541}"/>
            </c:ext>
          </c:extLst>
        </c:ser>
        <c:dLbls>
          <c:showLegendKey val="0"/>
          <c:showVal val="0"/>
          <c:showCatName val="0"/>
          <c:showSerName val="0"/>
          <c:showPercent val="0"/>
          <c:showBubbleSize val="0"/>
        </c:dLbls>
        <c:marker val="1"/>
        <c:smooth val="0"/>
        <c:axId val="1261751103"/>
        <c:axId val="1261746783"/>
      </c:lineChart>
      <c:catAx>
        <c:axId val="20982907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900" b="1" i="0" u="none" strike="noStrike" baseline="0"/>
                  <a:t>Month</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8291183"/>
        <c:crosses val="autoZero"/>
        <c:auto val="1"/>
        <c:lblAlgn val="ctr"/>
        <c:lblOffset val="100"/>
        <c:noMultiLvlLbl val="0"/>
      </c:catAx>
      <c:valAx>
        <c:axId val="209829118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900" b="1" i="0" u="none" strike="noStrike" baseline="0"/>
                  <a:t>Trading Volume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8290703"/>
        <c:crosses val="autoZero"/>
        <c:crossBetween val="between"/>
      </c:valAx>
      <c:valAx>
        <c:axId val="12617467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1751103"/>
        <c:crosses val="max"/>
        <c:crossBetween val="between"/>
      </c:valAx>
      <c:catAx>
        <c:axId val="1261751103"/>
        <c:scaling>
          <c:orientation val="minMax"/>
        </c:scaling>
        <c:delete val="1"/>
        <c:axPos val="b"/>
        <c:numFmt formatCode="General" sourceLinked="1"/>
        <c:majorTickMark val="out"/>
        <c:minorTickMark val="none"/>
        <c:tickLblPos val="nextTo"/>
        <c:crossAx val="1261746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9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[Quote-Equity-TATACONSUM-EQ-26-01-2025-26-01-2026.csv.xlsx]pivotTables!PivotTable10</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i="1"/>
              <a:t>Monthly Trading Volume Analysis</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pivotTables!$Y$14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pivotTables!$X$15:$X$27</c:f>
              <c:strCache>
                <c:ptCount val="12"/>
                <c:pt idx="0">
                  <c:v>Aug</c:v>
                </c:pt>
                <c:pt idx="1">
                  <c:v>Dec</c:v>
                </c:pt>
                <c:pt idx="2">
                  <c:v>Jun</c:v>
                </c:pt>
                <c:pt idx="3">
                  <c:v>Oct</c:v>
                </c:pt>
                <c:pt idx="4">
                  <c:v>Sep</c:v>
                </c:pt>
                <c:pt idx="5">
                  <c:v>May</c:v>
                </c:pt>
                <c:pt idx="6">
                  <c:v>Jul</c:v>
                </c:pt>
                <c:pt idx="7">
                  <c:v>Jan</c:v>
                </c:pt>
                <c:pt idx="8">
                  <c:v>Feb</c:v>
                </c:pt>
                <c:pt idx="9">
                  <c:v>Mar</c:v>
                </c:pt>
                <c:pt idx="10">
                  <c:v>Nov</c:v>
                </c:pt>
                <c:pt idx="11">
                  <c:v>Apr</c:v>
                </c:pt>
              </c:strCache>
            </c:strRef>
          </c:cat>
          <c:val>
            <c:numRef>
              <c:f>pivotTables!$Y$15:$Y$27</c:f>
              <c:numCache>
                <c:formatCode>General</c:formatCode>
                <c:ptCount val="12"/>
                <c:pt idx="0">
                  <c:v>14161536</c:v>
                </c:pt>
                <c:pt idx="1">
                  <c:v>18708508</c:v>
                </c:pt>
                <c:pt idx="2">
                  <c:v>21936933</c:v>
                </c:pt>
                <c:pt idx="3">
                  <c:v>24032443</c:v>
                </c:pt>
                <c:pt idx="4">
                  <c:v>27171262</c:v>
                </c:pt>
                <c:pt idx="5">
                  <c:v>27302754</c:v>
                </c:pt>
                <c:pt idx="6">
                  <c:v>27808575</c:v>
                </c:pt>
                <c:pt idx="7">
                  <c:v>27999285</c:v>
                </c:pt>
                <c:pt idx="8">
                  <c:v>28015615</c:v>
                </c:pt>
                <c:pt idx="9">
                  <c:v>36205046</c:v>
                </c:pt>
                <c:pt idx="10">
                  <c:v>36603297</c:v>
                </c:pt>
                <c:pt idx="11">
                  <c:v>41983897</c:v>
                </c:pt>
              </c:numCache>
            </c:numRef>
          </c:val>
          <c:extLst>
            <c:ext xmlns:c16="http://schemas.microsoft.com/office/drawing/2014/chart" uri="{C3380CC4-5D6E-409C-BE32-E72D297353CC}">
              <c16:uniqueId val="{00000007-BEED-4F62-8D74-8AC9377341E7}"/>
            </c:ext>
          </c:extLst>
        </c:ser>
        <c:dLbls>
          <c:dLblPos val="outEnd"/>
          <c:showLegendKey val="0"/>
          <c:showVal val="1"/>
          <c:showCatName val="0"/>
          <c:showSerName val="0"/>
          <c:showPercent val="0"/>
          <c:showBubbleSize val="0"/>
        </c:dLbls>
        <c:gapWidth val="182"/>
        <c:axId val="252189775"/>
        <c:axId val="252184015"/>
      </c:barChart>
      <c:catAx>
        <c:axId val="25218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84015"/>
        <c:crosses val="autoZero"/>
        <c:auto val="1"/>
        <c:lblAlgn val="ctr"/>
        <c:lblOffset val="100"/>
        <c:noMultiLvlLbl val="0"/>
      </c:catAx>
      <c:valAx>
        <c:axId val="252184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Volume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8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[Quote-Equity-TATACONSUM-EQ-26-01-2025-26-01-2026.csv.xlsx]pivotTables!PivotTable7</c:name>
    <c:fmtId val="6"/>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i="1"/>
              <a:t>Quarter-wise 52-Week High vs Low Price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pivotTables!$E$3</c:f>
              <c:strCache>
                <c:ptCount val="1"/>
                <c:pt idx="0">
                  <c:v>Max of 52W H</c:v>
                </c:pt>
              </c:strCache>
            </c:strRef>
          </c:tx>
          <c:spPr>
            <a:solidFill>
              <a:schemeClr val="accent1"/>
            </a:solidFill>
            <a:ln>
              <a:noFill/>
            </a:ln>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pivotTables!$D$4:$D$8</c:f>
              <c:strCache>
                <c:ptCount val="4"/>
                <c:pt idx="0">
                  <c:v>Q1</c:v>
                </c:pt>
                <c:pt idx="1">
                  <c:v>Q2</c:v>
                </c:pt>
                <c:pt idx="2">
                  <c:v>Q3</c:v>
                </c:pt>
                <c:pt idx="3">
                  <c:v>Q4</c:v>
                </c:pt>
              </c:strCache>
            </c:strRef>
          </c:cat>
          <c:val>
            <c:numRef>
              <c:f>pivotTables!$E$4:$E$8</c:f>
              <c:numCache>
                <c:formatCode>General</c:formatCode>
                <c:ptCount val="4"/>
                <c:pt idx="0">
                  <c:v>1269</c:v>
                </c:pt>
                <c:pt idx="1">
                  <c:v>1262.5999999999999</c:v>
                </c:pt>
                <c:pt idx="2">
                  <c:v>1262.5999999999999</c:v>
                </c:pt>
                <c:pt idx="3">
                  <c:v>1213.6500000000001</c:v>
                </c:pt>
              </c:numCache>
            </c:numRef>
          </c:val>
          <c:extLst>
            <c:ext xmlns:c16="http://schemas.microsoft.com/office/drawing/2014/chart" uri="{C3380CC4-5D6E-409C-BE32-E72D297353CC}">
              <c16:uniqueId val="{00000011-A8EE-437A-92B9-ED2A6FCD208F}"/>
            </c:ext>
          </c:extLst>
        </c:ser>
        <c:ser>
          <c:idx val="1"/>
          <c:order val="1"/>
          <c:tx>
            <c:strRef>
              <c:f>pivotTables!$F$3</c:f>
              <c:strCache>
                <c:ptCount val="1"/>
                <c:pt idx="0">
                  <c:v>Min of 52W 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pivotTables!$D$4:$D$8</c:f>
              <c:strCache>
                <c:ptCount val="4"/>
                <c:pt idx="0">
                  <c:v>Q1</c:v>
                </c:pt>
                <c:pt idx="1">
                  <c:v>Q2</c:v>
                </c:pt>
                <c:pt idx="2">
                  <c:v>Q3</c:v>
                </c:pt>
                <c:pt idx="3">
                  <c:v>Q4</c:v>
                </c:pt>
              </c:strCache>
            </c:strRef>
          </c:cat>
          <c:val>
            <c:numRef>
              <c:f>pivotTables!$F$4:$F$8</c:f>
              <c:numCache>
                <c:formatCode>General</c:formatCode>
                <c:ptCount val="4"/>
                <c:pt idx="0">
                  <c:v>882.9</c:v>
                </c:pt>
                <c:pt idx="1">
                  <c:v>882.9</c:v>
                </c:pt>
                <c:pt idx="2">
                  <c:v>882.9</c:v>
                </c:pt>
                <c:pt idx="3">
                  <c:v>882.9</c:v>
                </c:pt>
              </c:numCache>
            </c:numRef>
          </c:val>
          <c:extLst>
            <c:ext xmlns:c16="http://schemas.microsoft.com/office/drawing/2014/chart" uri="{C3380CC4-5D6E-409C-BE32-E72D297353CC}">
              <c16:uniqueId val="{00000012-A8EE-437A-92B9-ED2A6FCD208F}"/>
            </c:ext>
          </c:extLst>
        </c:ser>
        <c:dLbls>
          <c:showLegendKey val="0"/>
          <c:showVal val="1"/>
          <c:showCatName val="0"/>
          <c:showSerName val="0"/>
          <c:showPercent val="0"/>
          <c:showBubbleSize val="0"/>
        </c:dLbls>
        <c:gapWidth val="150"/>
        <c:shape val="box"/>
        <c:axId val="895739327"/>
        <c:axId val="895731647"/>
        <c:axId val="0"/>
      </c:bar3DChart>
      <c:catAx>
        <c:axId val="8957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95731647"/>
        <c:crosses val="autoZero"/>
        <c:auto val="1"/>
        <c:lblAlgn val="ctr"/>
        <c:lblOffset val="100"/>
        <c:noMultiLvlLbl val="0"/>
      </c:catAx>
      <c:valAx>
        <c:axId val="8957316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957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a:outerShdw blurRad="63500" sx="102000" sy="102000" algn="ctr" rotWithShape="0">
        <a:prstClr val="black">
          <a:alpha val="40000"/>
        </a:prstClr>
      </a:outerShdw>
    </a:effectLst>
    <a:scene3d>
      <a:camera prst="orthographicFront"/>
      <a:lightRig rig="threePt" dir="t"/>
    </a:scene3d>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r>
              <a:rPr lang="en-IN" sz="1400" b="0" i="1" u="none" strike="noStrike" baseline="0"/>
              <a:t>Monthly Trading Volume and Average Daily Price Range</a:t>
            </a:r>
            <a:endParaRPr lang="en-IN" sz="1400" b="0" i="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44546A"/>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pivotTables!$F$10</c:f>
              <c:strCache>
                <c:ptCount val="1"/>
                <c:pt idx="0">
                  <c:v>Sum of VOLUME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pivotTables!$E$11:$E$23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pivotTables!$F$11:$F$23</c:f>
              <c:numCache>
                <c:formatCode>General</c:formatCode>
                <c:ptCount val="12"/>
                <c:pt idx="0">
                  <c:v>41983897</c:v>
                </c:pt>
                <c:pt idx="1">
                  <c:v>14161536</c:v>
                </c:pt>
                <c:pt idx="2">
                  <c:v>18708508</c:v>
                </c:pt>
                <c:pt idx="3">
                  <c:v>28015615</c:v>
                </c:pt>
                <c:pt idx="4">
                  <c:v>27999285</c:v>
                </c:pt>
                <c:pt idx="5">
                  <c:v>27808575</c:v>
                </c:pt>
                <c:pt idx="6">
                  <c:v>21936933</c:v>
                </c:pt>
                <c:pt idx="7">
                  <c:v>36205046</c:v>
                </c:pt>
                <c:pt idx="8">
                  <c:v>27302754</c:v>
                </c:pt>
                <c:pt idx="9">
                  <c:v>36603297</c:v>
                </c:pt>
                <c:pt idx="10">
                  <c:v>24032443</c:v>
                </c:pt>
                <c:pt idx="11">
                  <c:v>27171262</c:v>
                </c:pt>
              </c:numCache>
            </c:numRef>
          </c:val>
          <c:extLst>
            <c:ext xmlns:c16="http://schemas.microsoft.com/office/drawing/2014/chart" uri="{C3380CC4-5D6E-409C-BE32-E72D297353CC}">
              <c16:uniqueId val="{0000000D-04E6-4A1F-AF86-D5C8BCD8130D}"/>
            </c:ext>
          </c:extLst>
        </c:ser>
        <c:dLbls>
          <c:showLegendKey val="0"/>
          <c:showVal val="0"/>
          <c:showCatName val="0"/>
          <c:showSerName val="0"/>
          <c:showPercent val="0"/>
          <c:showBubbleSize val="0"/>
        </c:dLbls>
        <c:gapWidth val="150"/>
        <c:axId val="2098290703"/>
        <c:axId val="2098291183"/>
      </c:barChart>
      <c:lineChart>
        <c:grouping val="standard"/>
        <c:varyColors val="0"/>
        <c:ser>
          <c:idx val="1"/>
          <c:order val="1"/>
          <c:tx>
            <c:strRef>
              <c:f>pivotTables!$G$10</c:f>
              <c:strCache>
                <c:ptCount val="1"/>
                <c:pt idx="0">
                  <c:v>Average of Daily Range</c:v>
                </c:pt>
              </c:strCache>
            </c:strRef>
          </c:tx>
          <c:spPr>
            <a:ln w="31750" cap="rnd">
              <a:solidFill>
                <a:schemeClr val="accent2"/>
              </a:solidFill>
              <a:round/>
            </a:ln>
            <a:effectLst/>
          </c:spPr>
          <c:marker>
            <c:symbol val="none"/>
          </c:marker>
          <c:cat>
            <c:strRef>
              <c:f>pivotTables!$E$11:$E$23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pivotTables!$G$11:$G$23</c:f>
              <c:numCache>
                <c:formatCode>General</c:formatCode>
                <c:ptCount val="12"/>
                <c:pt idx="0">
                  <c:v>33.19736842105263</c:v>
                </c:pt>
                <c:pt idx="1">
                  <c:v>19.578947368421076</c:v>
                </c:pt>
                <c:pt idx="2">
                  <c:v>20.404545454545481</c:v>
                </c:pt>
                <c:pt idx="3">
                  <c:v>22.539473684210531</c:v>
                </c:pt>
                <c:pt idx="4">
                  <c:v>27.64285714285716</c:v>
                </c:pt>
                <c:pt idx="5">
                  <c:v>21.891304347826086</c:v>
                </c:pt>
                <c:pt idx="6">
                  <c:v>20.919047619047639</c:v>
                </c:pt>
                <c:pt idx="7">
                  <c:v>20.265789473684208</c:v>
                </c:pt>
                <c:pt idx="8">
                  <c:v>26.319047619047609</c:v>
                </c:pt>
                <c:pt idx="9">
                  <c:v>27.05263157894737</c:v>
                </c:pt>
                <c:pt idx="10">
                  <c:v>21.966666666666697</c:v>
                </c:pt>
                <c:pt idx="11">
                  <c:v>22.00454545454544</c:v>
                </c:pt>
              </c:numCache>
            </c:numRef>
          </c:val>
          <c:smooth val="0"/>
          <c:extLst>
            <c:ext xmlns:c16="http://schemas.microsoft.com/office/drawing/2014/chart" uri="{C3380CC4-5D6E-409C-BE32-E72D297353CC}">
              <c16:uniqueId val="{0000000E-04E6-4A1F-AF86-D5C8BCD8130D}"/>
            </c:ext>
          </c:extLst>
        </c:ser>
        <c:dLbls>
          <c:showLegendKey val="0"/>
          <c:showVal val="0"/>
          <c:showCatName val="0"/>
          <c:showSerName val="0"/>
          <c:showPercent val="0"/>
          <c:showBubbleSize val="0"/>
        </c:dLbls>
        <c:marker val="1"/>
        <c:smooth val="0"/>
        <c:axId val="1165782047"/>
        <c:axId val="1165789727"/>
      </c:lineChart>
      <c:catAx>
        <c:axId val="20982907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900" b="1" i="0" u="none" strike="noStrike" baseline="0"/>
                  <a:t>Month</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8291183"/>
        <c:crosses val="autoZero"/>
        <c:auto val="1"/>
        <c:lblAlgn val="ctr"/>
        <c:lblOffset val="100"/>
        <c:noMultiLvlLbl val="0"/>
      </c:catAx>
      <c:valAx>
        <c:axId val="209829118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900" b="1" i="0" u="none" strike="noStrike" baseline="0"/>
                  <a:t>Trading Volume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8290703"/>
        <c:crosses val="autoZero"/>
        <c:crossBetween val="between"/>
      </c:valAx>
      <c:valAx>
        <c:axId val="11657897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5782047"/>
        <c:crosses val="max"/>
        <c:crossBetween val="between"/>
      </c:valAx>
      <c:catAx>
        <c:axId val="1165782047"/>
        <c:scaling>
          <c:orientation val="minMax"/>
        </c:scaling>
        <c:delete val="1"/>
        <c:axPos val="b"/>
        <c:numFmt formatCode="General" sourceLinked="1"/>
        <c:majorTickMark val="out"/>
        <c:minorTickMark val="none"/>
        <c:tickLblPos val="nextTo"/>
        <c:crossAx val="11657897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9000"/>
      </a:schemeClr>
    </a:solidFill>
    <a:ln w="9525" cap="flat" cmpd="sng" algn="ctr">
      <a:solidFill>
        <a:schemeClr val="tx2">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[Quote-Equity-TATACONSUM-EQ-26-01-2025-26-01-2026.csv.xlsx]pivotTables!PivotTable10</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i="1"/>
              <a:t>Monthly Trading Volume Analysis</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pivotFmt>
      <c:pivotFmt>
        <c:idx val="4"/>
        <c:spPr>
          <a:solidFill>
            <a:schemeClr val="accent1"/>
          </a:solidFill>
          <a:ln>
            <a:noFill/>
          </a:ln>
          <a:effectLst/>
        </c:spPr>
      </c:pivotFmt>
    </c:pivotFmts>
    <c:plotArea>
      <c:layout/>
      <c:barChart>
        <c:barDir val="bar"/>
        <c:grouping val="clustered"/>
        <c:varyColors val="0"/>
        <c:ser>
          <c:idx val="0"/>
          <c:order val="0"/>
          <c:tx>
            <c:strRef>
              <c:f>pivotTables!$Y$14</c:f>
              <c:strCache>
                <c:ptCount val="1"/>
                <c:pt idx="0">
                  <c:v>Total</c:v>
                </c:pt>
              </c:strCache>
            </c:strRef>
          </c:tx>
          <c:spPr>
            <a:solidFill>
              <a:schemeClr val="accent1"/>
            </a:solidFill>
            <a:ln>
              <a:noFill/>
            </a:ln>
            <a:effectLst/>
          </c:spPr>
          <c:invertIfNegative val="0"/>
          <c:dPt>
            <c:idx val="11"/>
            <c:invertIfNegative val="0"/>
            <c:bubble3D val="0"/>
            <c:spPr>
              <a:solidFill>
                <a:schemeClr val="accent1"/>
              </a:solidFill>
              <a:ln>
                <a:noFill/>
              </a:ln>
              <a:effectLst/>
            </c:spPr>
            <c:extLst>
              <c:ext xmlns:c16="http://schemas.microsoft.com/office/drawing/2014/chart" uri="{C3380CC4-5D6E-409C-BE32-E72D297353CC}">
                <c16:uniqueId val="{00000001-D393-4FB4-AA17-C3E51C1D51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pivotTables!$X$15:$X$27</c:f>
              <c:strCache>
                <c:ptCount val="12"/>
                <c:pt idx="0">
                  <c:v>Aug</c:v>
                </c:pt>
                <c:pt idx="1">
                  <c:v>Dec</c:v>
                </c:pt>
                <c:pt idx="2">
                  <c:v>Jun</c:v>
                </c:pt>
                <c:pt idx="3">
                  <c:v>Oct</c:v>
                </c:pt>
                <c:pt idx="4">
                  <c:v>Sep</c:v>
                </c:pt>
                <c:pt idx="5">
                  <c:v>May</c:v>
                </c:pt>
                <c:pt idx="6">
                  <c:v>Jul</c:v>
                </c:pt>
                <c:pt idx="7">
                  <c:v>Jan</c:v>
                </c:pt>
                <c:pt idx="8">
                  <c:v>Feb</c:v>
                </c:pt>
                <c:pt idx="9">
                  <c:v>Mar</c:v>
                </c:pt>
                <c:pt idx="10">
                  <c:v>Nov</c:v>
                </c:pt>
                <c:pt idx="11">
                  <c:v>Apr</c:v>
                </c:pt>
              </c:strCache>
            </c:strRef>
          </c:cat>
          <c:val>
            <c:numRef>
              <c:f>pivotTables!$Y$15:$Y$27</c:f>
              <c:numCache>
                <c:formatCode>General</c:formatCode>
                <c:ptCount val="12"/>
                <c:pt idx="0">
                  <c:v>14161536</c:v>
                </c:pt>
                <c:pt idx="1">
                  <c:v>18708508</c:v>
                </c:pt>
                <c:pt idx="2">
                  <c:v>21936933</c:v>
                </c:pt>
                <c:pt idx="3">
                  <c:v>24032443</c:v>
                </c:pt>
                <c:pt idx="4">
                  <c:v>27171262</c:v>
                </c:pt>
                <c:pt idx="5">
                  <c:v>27302754</c:v>
                </c:pt>
                <c:pt idx="6">
                  <c:v>27808575</c:v>
                </c:pt>
                <c:pt idx="7">
                  <c:v>27999285</c:v>
                </c:pt>
                <c:pt idx="8">
                  <c:v>28015615</c:v>
                </c:pt>
                <c:pt idx="9">
                  <c:v>36205046</c:v>
                </c:pt>
                <c:pt idx="10">
                  <c:v>36603297</c:v>
                </c:pt>
                <c:pt idx="11">
                  <c:v>41983897</c:v>
                </c:pt>
              </c:numCache>
            </c:numRef>
          </c:val>
          <c:extLst>
            <c:ext xmlns:c16="http://schemas.microsoft.com/office/drawing/2014/chart" uri="{C3380CC4-5D6E-409C-BE32-E72D297353CC}">
              <c16:uniqueId val="{00000009-A536-4546-980F-F871A639DB75}"/>
            </c:ext>
          </c:extLst>
        </c:ser>
        <c:dLbls>
          <c:dLblPos val="outEnd"/>
          <c:showLegendKey val="0"/>
          <c:showVal val="1"/>
          <c:showCatName val="0"/>
          <c:showSerName val="0"/>
          <c:showPercent val="0"/>
          <c:showBubbleSize val="0"/>
        </c:dLbls>
        <c:gapWidth val="182"/>
        <c:axId val="252189775"/>
        <c:axId val="252184015"/>
      </c:barChart>
      <c:catAx>
        <c:axId val="25218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84015"/>
        <c:crosses val="autoZero"/>
        <c:auto val="1"/>
        <c:lblAlgn val="ctr"/>
        <c:lblOffset val="100"/>
        <c:noMultiLvlLbl val="0"/>
      </c:catAx>
      <c:valAx>
        <c:axId val="252184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Volume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8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1" u="none" strike="noStrike" baseline="0"/>
              <a:t>Monthly </a:t>
            </a:r>
            <a:r>
              <a:rPr lang="en-IN" b="0" i="1"/>
              <a:t>Average Close Price And Average</a:t>
            </a:r>
            <a:r>
              <a:rPr lang="en-IN" b="0" i="1" baseline="0"/>
              <a:t> Open Price</a:t>
            </a:r>
            <a:endParaRPr lang="en-IN" b="0" i="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pivotTables!$B$40</c:f>
              <c:strCache>
                <c:ptCount val="1"/>
                <c:pt idx="0">
                  <c:v>Average of OPEN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pivotTables!$B$41:$B$53</c:f>
              <c:numCache>
                <c:formatCode>General</c:formatCode>
                <c:ptCount val="12"/>
                <c:pt idx="0">
                  <c:v>1133.7</c:v>
                </c:pt>
                <c:pt idx="1">
                  <c:v>1020.9684210526317</c:v>
                </c:pt>
                <c:pt idx="2">
                  <c:v>958.39210526315799</c:v>
                </c:pt>
                <c:pt idx="3">
                  <c:v>1098.7815789473684</c:v>
                </c:pt>
                <c:pt idx="4">
                  <c:v>1136.5952380952381</c:v>
                </c:pt>
                <c:pt idx="5">
                  <c:v>1103.1904761904761</c:v>
                </c:pt>
                <c:pt idx="6">
                  <c:v>1084.2565217391304</c:v>
                </c:pt>
                <c:pt idx="7">
                  <c:v>1068.6000000000001</c:v>
                </c:pt>
                <c:pt idx="8">
                  <c:v>1106.2227272727273</c:v>
                </c:pt>
                <c:pt idx="9">
                  <c:v>1144.7714285714287</c:v>
                </c:pt>
                <c:pt idx="10">
                  <c:v>1170.4421052631581</c:v>
                </c:pt>
                <c:pt idx="11">
                  <c:v>1164.2090909090909</c:v>
                </c:pt>
              </c:numCache>
            </c:numRef>
          </c:val>
          <c:smooth val="0"/>
          <c:extLst>
            <c:ext xmlns:c16="http://schemas.microsoft.com/office/drawing/2014/chart" uri="{C3380CC4-5D6E-409C-BE32-E72D297353CC}">
              <c16:uniqueId val="{0000000D-BBB9-43F8-B19D-E5BC54DC93C3}"/>
            </c:ext>
          </c:extLst>
        </c:ser>
        <c:ser>
          <c:idx val="1"/>
          <c:order val="1"/>
          <c:tx>
            <c:strRef>
              <c:f>pivotTables!$C$40</c:f>
              <c:strCache>
                <c:ptCount val="1"/>
                <c:pt idx="0">
                  <c:v>Average of CLOSE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pivotTables!$C$41:$C$53</c:f>
              <c:numCache>
                <c:formatCode>General</c:formatCode>
                <c:ptCount val="12"/>
                <c:pt idx="0">
                  <c:v>1133.5523809523809</c:v>
                </c:pt>
                <c:pt idx="1">
                  <c:v>1016.5315789473683</c:v>
                </c:pt>
                <c:pt idx="2">
                  <c:v>959.71578947368414</c:v>
                </c:pt>
                <c:pt idx="3">
                  <c:v>1108.5657894736842</c:v>
                </c:pt>
                <c:pt idx="4">
                  <c:v>1135.9714285714285</c:v>
                </c:pt>
                <c:pt idx="5">
                  <c:v>1105.3285714285714</c:v>
                </c:pt>
                <c:pt idx="6">
                  <c:v>1082.8434782608697</c:v>
                </c:pt>
                <c:pt idx="7">
                  <c:v>1068.4894736842105</c:v>
                </c:pt>
                <c:pt idx="8">
                  <c:v>1108.3500000000001</c:v>
                </c:pt>
                <c:pt idx="9">
                  <c:v>1147.5857142857142</c:v>
                </c:pt>
                <c:pt idx="10">
                  <c:v>1171.5315789473684</c:v>
                </c:pt>
                <c:pt idx="11">
                  <c:v>1165.8818181818183</c:v>
                </c:pt>
              </c:numCache>
            </c:numRef>
          </c:val>
          <c:smooth val="0"/>
          <c:extLst>
            <c:ext xmlns:c16="http://schemas.microsoft.com/office/drawing/2014/chart" uri="{C3380CC4-5D6E-409C-BE32-E72D297353CC}">
              <c16:uniqueId val="{0000000E-BBB9-43F8-B19D-E5BC54DC93C3}"/>
            </c:ext>
          </c:extLst>
        </c:ser>
        <c:dLbls>
          <c:dLblPos val="t"/>
          <c:showLegendKey val="0"/>
          <c:showVal val="1"/>
          <c:showCatName val="0"/>
          <c:showSerName val="0"/>
          <c:showPercent val="0"/>
          <c:showBubbleSize val="0"/>
        </c:dLbls>
        <c:marker val="1"/>
        <c:smooth val="0"/>
        <c:axId val="2100700287"/>
        <c:axId val="2100701247"/>
      </c:lineChart>
      <c:catAx>
        <c:axId val="210070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01247"/>
        <c:crosses val="autoZero"/>
        <c:auto val="1"/>
        <c:lblAlgn val="ctr"/>
        <c:lblOffset val="100"/>
        <c:noMultiLvlLbl val="0"/>
      </c:catAx>
      <c:valAx>
        <c:axId val="210070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00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[Quote-Equity-TATACONSUM-EQ-26-01-2025-26-01-2026.csv.xlsx]pivotTables!PivotTable11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0" i="1"/>
              <a:t>Average Open vs Close Price by Day of Week</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pivotTables!$I$66</c:f>
              <c:strCache>
                <c:ptCount val="1"/>
                <c:pt idx="0">
                  <c:v>Average of OPEN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pivotTables!$H$67:$H$72</c:f>
              <c:strCache>
                <c:ptCount val="5"/>
                <c:pt idx="0">
                  <c:v>Friday</c:v>
                </c:pt>
                <c:pt idx="1">
                  <c:v>Monday</c:v>
                </c:pt>
                <c:pt idx="2">
                  <c:v>Thursday</c:v>
                </c:pt>
                <c:pt idx="3">
                  <c:v>Tuesday</c:v>
                </c:pt>
                <c:pt idx="4">
                  <c:v>Wednesday</c:v>
                </c:pt>
              </c:strCache>
            </c:strRef>
          </c:cat>
          <c:val>
            <c:numRef>
              <c:f>pivotTables!$I$67:$I$72</c:f>
              <c:numCache>
                <c:formatCode>General</c:formatCode>
                <c:ptCount val="5"/>
                <c:pt idx="0">
                  <c:v>1106.0765306122448</c:v>
                </c:pt>
                <c:pt idx="1">
                  <c:v>1099.1510000000001</c:v>
                </c:pt>
                <c:pt idx="2">
                  <c:v>1098.9978723404256</c:v>
                </c:pt>
                <c:pt idx="3">
                  <c:v>1101.375</c:v>
                </c:pt>
                <c:pt idx="4">
                  <c:v>1098.2833333333333</c:v>
                </c:pt>
              </c:numCache>
            </c:numRef>
          </c:val>
          <c:smooth val="0"/>
          <c:extLst>
            <c:ext xmlns:c16="http://schemas.microsoft.com/office/drawing/2014/chart" uri="{C3380CC4-5D6E-409C-BE32-E72D297353CC}">
              <c16:uniqueId val="{0000000D-560F-434E-A347-931A5CA03F30}"/>
            </c:ext>
          </c:extLst>
        </c:ser>
        <c:ser>
          <c:idx val="1"/>
          <c:order val="1"/>
          <c:tx>
            <c:strRef>
              <c:f>pivotTables!$J$66</c:f>
              <c:strCache>
                <c:ptCount val="1"/>
                <c:pt idx="0">
                  <c:v>Average of CLOSE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pivotTables!$H$67:$H$72</c:f>
              <c:strCache>
                <c:ptCount val="5"/>
                <c:pt idx="0">
                  <c:v>Friday</c:v>
                </c:pt>
                <c:pt idx="1">
                  <c:v>Monday</c:v>
                </c:pt>
                <c:pt idx="2">
                  <c:v>Thursday</c:v>
                </c:pt>
                <c:pt idx="3">
                  <c:v>Tuesday</c:v>
                </c:pt>
                <c:pt idx="4">
                  <c:v>Wednesday</c:v>
                </c:pt>
              </c:strCache>
            </c:strRef>
          </c:cat>
          <c:val>
            <c:numRef>
              <c:f>pivotTables!$J$67:$J$72</c:f>
              <c:numCache>
                <c:formatCode>General</c:formatCode>
                <c:ptCount val="5"/>
                <c:pt idx="0">
                  <c:v>1106.295918367347</c:v>
                </c:pt>
                <c:pt idx="1">
                  <c:v>1103.144</c:v>
                </c:pt>
                <c:pt idx="2">
                  <c:v>1097.7446808510638</c:v>
                </c:pt>
                <c:pt idx="3">
                  <c:v>1100.1288461538461</c:v>
                </c:pt>
                <c:pt idx="4">
                  <c:v>1102.3989583333334</c:v>
                </c:pt>
              </c:numCache>
            </c:numRef>
          </c:val>
          <c:smooth val="0"/>
          <c:extLst>
            <c:ext xmlns:c16="http://schemas.microsoft.com/office/drawing/2014/chart" uri="{C3380CC4-5D6E-409C-BE32-E72D297353CC}">
              <c16:uniqueId val="{0000000E-560F-434E-A347-931A5CA03F30}"/>
            </c:ext>
          </c:extLst>
        </c:ser>
        <c:dLbls>
          <c:dLblPos val="t"/>
          <c:showLegendKey val="0"/>
          <c:showVal val="1"/>
          <c:showCatName val="0"/>
          <c:showSerName val="0"/>
          <c:showPercent val="0"/>
          <c:showBubbleSize val="0"/>
        </c:dLbls>
        <c:marker val="1"/>
        <c:smooth val="0"/>
        <c:axId val="2100683487"/>
        <c:axId val="2100680127"/>
      </c:lineChart>
      <c:catAx>
        <c:axId val="210068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680127"/>
        <c:crosses val="autoZero"/>
        <c:auto val="1"/>
        <c:lblAlgn val="ctr"/>
        <c:lblOffset val="100"/>
        <c:noMultiLvlLbl val="0"/>
      </c:catAx>
      <c:valAx>
        <c:axId val="210068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6834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187827</xdr:colOff>
      <xdr:row>1</xdr:row>
      <xdr:rowOff>155408</xdr:rowOff>
    </xdr:from>
    <xdr:to>
      <xdr:col>17</xdr:col>
      <xdr:colOff>284079</xdr:colOff>
      <xdr:row>16</xdr:row>
      <xdr:rowOff>136358</xdr:rowOff>
    </xdr:to>
    <xdr:graphicFrame macro="">
      <xdr:nvGraphicFramePr>
        <xdr:cNvPr id="2" name="Chart 1">
          <a:extLst>
            <a:ext uri="{FF2B5EF4-FFF2-40B4-BE49-F238E27FC236}">
              <a16:creationId xmlns:a16="http://schemas.microsoft.com/office/drawing/2014/main" id="{87FF731A-3BED-5A67-829E-32AB680DC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294269</xdr:colOff>
      <xdr:row>37</xdr:row>
      <xdr:rowOff>187806</xdr:rowOff>
    </xdr:from>
    <xdr:to>
      <xdr:col>10</xdr:col>
      <xdr:colOff>1310227</xdr:colOff>
      <xdr:row>52</xdr:row>
      <xdr:rowOff>173769</xdr:rowOff>
    </xdr:to>
    <xdr:graphicFrame macro="">
      <xdr:nvGraphicFramePr>
        <xdr:cNvPr id="5" name="Chart 4">
          <a:extLst>
            <a:ext uri="{FF2B5EF4-FFF2-40B4-BE49-F238E27FC236}">
              <a16:creationId xmlns:a16="http://schemas.microsoft.com/office/drawing/2014/main" id="{D72ABB44-B154-F920-377E-ABDE10715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675968</xdr:colOff>
      <xdr:row>64</xdr:row>
      <xdr:rowOff>43224</xdr:rowOff>
    </xdr:from>
    <xdr:to>
      <xdr:col>18</xdr:col>
      <xdr:colOff>208325</xdr:colOff>
      <xdr:row>79</xdr:row>
      <xdr:rowOff>20484</xdr:rowOff>
    </xdr:to>
    <xdr:graphicFrame macro="">
      <xdr:nvGraphicFramePr>
        <xdr:cNvPr id="7" name="Chart 6">
          <a:extLst>
            <a:ext uri="{FF2B5EF4-FFF2-40B4-BE49-F238E27FC236}">
              <a16:creationId xmlns:a16="http://schemas.microsoft.com/office/drawing/2014/main" id="{4FD9CF49-B4AE-02BC-24F9-3D8E309C7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20</xdr:row>
      <xdr:rowOff>0</xdr:rowOff>
    </xdr:from>
    <xdr:to>
      <xdr:col>17</xdr:col>
      <xdr:colOff>473841</xdr:colOff>
      <xdr:row>35</xdr:row>
      <xdr:rowOff>54769</xdr:rowOff>
    </xdr:to>
    <xdr:graphicFrame macro="">
      <xdr:nvGraphicFramePr>
        <xdr:cNvPr id="8" name="Chart 7">
          <a:extLst>
            <a:ext uri="{FF2B5EF4-FFF2-40B4-BE49-F238E27FC236}">
              <a16:creationId xmlns:a16="http://schemas.microsoft.com/office/drawing/2014/main" id="{E9444342-D571-4C07-B0C2-A45DA7CA4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23090</xdr:colOff>
      <xdr:row>14</xdr:row>
      <xdr:rowOff>57727</xdr:rowOff>
    </xdr:from>
    <xdr:to>
      <xdr:col>29</xdr:col>
      <xdr:colOff>768563</xdr:colOff>
      <xdr:row>31</xdr:row>
      <xdr:rowOff>161637</xdr:rowOff>
    </xdr:to>
    <xdr:graphicFrame macro="">
      <xdr:nvGraphicFramePr>
        <xdr:cNvPr id="9" name="Chart 8">
          <a:extLst>
            <a:ext uri="{FF2B5EF4-FFF2-40B4-BE49-F238E27FC236}">
              <a16:creationId xmlns:a16="http://schemas.microsoft.com/office/drawing/2014/main" id="{1751D612-453B-4A95-8BB9-3A02ECB2A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122152</xdr:colOff>
      <xdr:row>3</xdr:row>
      <xdr:rowOff>25309</xdr:rowOff>
    </xdr:from>
    <xdr:to>
      <xdr:col>27</xdr:col>
      <xdr:colOff>433658</xdr:colOff>
      <xdr:row>51</xdr:row>
      <xdr:rowOff>86591</xdr:rowOff>
    </xdr:to>
    <xdr:sp macro="" textlink="">
      <xdr:nvSpPr>
        <xdr:cNvPr id="14" name="Rectangle: Rounded Corners 13">
          <a:extLst>
            <a:ext uri="{FF2B5EF4-FFF2-40B4-BE49-F238E27FC236}">
              <a16:creationId xmlns:a16="http://schemas.microsoft.com/office/drawing/2014/main" id="{5F85C64D-F4E4-EBD5-B577-ADD4D01CAE16}"/>
            </a:ext>
          </a:extLst>
        </xdr:cNvPr>
        <xdr:cNvSpPr/>
      </xdr:nvSpPr>
      <xdr:spPr>
        <a:xfrm>
          <a:off x="122152" y="582870"/>
          <a:ext cx="16620165" cy="8982258"/>
        </a:xfrm>
        <a:prstGeom prst="roundRect">
          <a:avLst>
            <a:gd name="adj" fmla="val 5526"/>
          </a:avLst>
        </a:prstGeom>
        <a:solidFill>
          <a:schemeClr val="accent1">
            <a:lumMod val="20000"/>
            <a:lumOff val="80000"/>
            <a:alpha val="95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15487</xdr:colOff>
      <xdr:row>3</xdr:row>
      <xdr:rowOff>154878</xdr:rowOff>
    </xdr:from>
    <xdr:to>
      <xdr:col>27</xdr:col>
      <xdr:colOff>232316</xdr:colOff>
      <xdr:row>50</xdr:row>
      <xdr:rowOff>123902</xdr:rowOff>
    </xdr:to>
    <xdr:sp macro="" textlink="">
      <xdr:nvSpPr>
        <xdr:cNvPr id="29" name="Rectangle: Rounded Corners 28">
          <a:extLst>
            <a:ext uri="{FF2B5EF4-FFF2-40B4-BE49-F238E27FC236}">
              <a16:creationId xmlns:a16="http://schemas.microsoft.com/office/drawing/2014/main" id="{DB54C388-3568-29F2-73AB-F0C4D4D812EC}"/>
            </a:ext>
          </a:extLst>
        </xdr:cNvPr>
        <xdr:cNvSpPr/>
      </xdr:nvSpPr>
      <xdr:spPr>
        <a:xfrm>
          <a:off x="13908048" y="712439"/>
          <a:ext cx="2632927" cy="87041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409110</xdr:colOff>
      <xdr:row>18</xdr:row>
      <xdr:rowOff>84787</xdr:rowOff>
    </xdr:from>
    <xdr:to>
      <xdr:col>7</xdr:col>
      <xdr:colOff>449146</xdr:colOff>
      <xdr:row>33</xdr:row>
      <xdr:rowOff>170366</xdr:rowOff>
    </xdr:to>
    <xdr:graphicFrame macro="">
      <xdr:nvGraphicFramePr>
        <xdr:cNvPr id="2" name="Chart 1">
          <a:extLst>
            <a:ext uri="{FF2B5EF4-FFF2-40B4-BE49-F238E27FC236}">
              <a16:creationId xmlns:a16="http://schemas.microsoft.com/office/drawing/2014/main" id="{BB2011EC-486D-4E29-83FE-72516AEC4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66322</xdr:colOff>
      <xdr:row>35</xdr:row>
      <xdr:rowOff>16722</xdr:rowOff>
    </xdr:from>
    <xdr:to>
      <xdr:col>22</xdr:col>
      <xdr:colOff>342409</xdr:colOff>
      <xdr:row>49</xdr:row>
      <xdr:rowOff>144441</xdr:rowOff>
    </xdr:to>
    <xdr:graphicFrame macro="">
      <xdr:nvGraphicFramePr>
        <xdr:cNvPr id="3" name="Chart 2">
          <a:extLst>
            <a:ext uri="{FF2B5EF4-FFF2-40B4-BE49-F238E27FC236}">
              <a16:creationId xmlns:a16="http://schemas.microsoft.com/office/drawing/2014/main" id="{B3DF75D7-D4D3-4D52-BC98-3D9E03A9E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310285</xdr:colOff>
      <xdr:row>18</xdr:row>
      <xdr:rowOff>80277</xdr:rowOff>
    </xdr:from>
    <xdr:to>
      <xdr:col>22</xdr:col>
      <xdr:colOff>368955</xdr:colOff>
      <xdr:row>34</xdr:row>
      <xdr:rowOff>16710</xdr:rowOff>
    </xdr:to>
    <xdr:graphicFrame macro="">
      <xdr:nvGraphicFramePr>
        <xdr:cNvPr id="4" name="Chart 3">
          <a:extLst>
            <a:ext uri="{FF2B5EF4-FFF2-40B4-BE49-F238E27FC236}">
              <a16:creationId xmlns:a16="http://schemas.microsoft.com/office/drawing/2014/main" id="{CB4E88AC-8DB2-4348-8129-E36524C66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443024</xdr:colOff>
      <xdr:row>35</xdr:row>
      <xdr:rowOff>14771</xdr:rowOff>
    </xdr:from>
    <xdr:to>
      <xdr:col>11</xdr:col>
      <xdr:colOff>377676</xdr:colOff>
      <xdr:row>49</xdr:row>
      <xdr:rowOff>142752</xdr:rowOff>
    </xdr:to>
    <xdr:graphicFrame macro="">
      <xdr:nvGraphicFramePr>
        <xdr:cNvPr id="5" name="Chart 4">
          <a:extLst>
            <a:ext uri="{FF2B5EF4-FFF2-40B4-BE49-F238E27FC236}">
              <a16:creationId xmlns:a16="http://schemas.microsoft.com/office/drawing/2014/main" id="{83438536-6CA4-47DD-A06B-AE3C1A270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325244</xdr:colOff>
      <xdr:row>16</xdr:row>
      <xdr:rowOff>88701</xdr:rowOff>
    </xdr:from>
    <xdr:to>
      <xdr:col>26</xdr:col>
      <xdr:colOff>511098</xdr:colOff>
      <xdr:row>27</xdr:row>
      <xdr:rowOff>77439</xdr:rowOff>
    </xdr:to>
    <mc:AlternateContent xmlns:mc="http://schemas.openxmlformats.org/markup-compatibility/2006" xmlns:a14="http://schemas.microsoft.com/office/drawing/2010/main">
      <mc:Choice Requires="a14">
        <xdr:graphicFrame macro="">
          <xdr:nvGraphicFramePr>
            <xdr:cNvPr id="6" name="Day">
              <a:extLst>
                <a:ext uri="{FF2B5EF4-FFF2-40B4-BE49-F238E27FC236}">
                  <a16:creationId xmlns:a16="http://schemas.microsoft.com/office/drawing/2014/main" id="{185FFD31-C1B2-3196-8BCC-212BC07EFB6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4217805" y="3062360"/>
              <a:ext cx="1997927" cy="2033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340732</xdr:colOff>
      <xdr:row>28</xdr:row>
      <xdr:rowOff>123903</xdr:rowOff>
    </xdr:from>
    <xdr:to>
      <xdr:col>26</xdr:col>
      <xdr:colOff>511096</xdr:colOff>
      <xdr:row>48</xdr:row>
      <xdr:rowOff>123902</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786044CD-AE48-F021-3719-96BAF6F5BB8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233293" y="5327805"/>
              <a:ext cx="1982437" cy="3717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278648</xdr:colOff>
      <xdr:row>5</xdr:row>
      <xdr:rowOff>89998</xdr:rowOff>
    </xdr:from>
    <xdr:to>
      <xdr:col>26</xdr:col>
      <xdr:colOff>548074</xdr:colOff>
      <xdr:row>9</xdr:row>
      <xdr:rowOff>126089</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84190F28-326C-72EC-4A15-284CA0C82C6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171209" y="1019266"/>
              <a:ext cx="2081499" cy="779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296961</xdr:colOff>
      <xdr:row>10</xdr:row>
      <xdr:rowOff>128828</xdr:rowOff>
    </xdr:from>
    <xdr:to>
      <xdr:col>26</xdr:col>
      <xdr:colOff>504057</xdr:colOff>
      <xdr:row>15</xdr:row>
      <xdr:rowOff>27805</xdr:rowOff>
    </xdr:to>
    <mc:AlternateContent xmlns:mc="http://schemas.openxmlformats.org/markup-compatibility/2006" xmlns:a14="http://schemas.microsoft.com/office/drawing/2010/main">
      <mc:Choice Requires="a14">
        <xdr:graphicFrame macro="">
          <xdr:nvGraphicFramePr>
            <xdr:cNvPr id="9" name="Quarter">
              <a:extLst>
                <a:ext uri="{FF2B5EF4-FFF2-40B4-BE49-F238E27FC236}">
                  <a16:creationId xmlns:a16="http://schemas.microsoft.com/office/drawing/2014/main" id="{C430A37C-A195-E18A-C0B7-A3F5A92D0E3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189522" y="1987365"/>
              <a:ext cx="2019169" cy="828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35178</xdr:colOff>
      <xdr:row>18</xdr:row>
      <xdr:rowOff>80277</xdr:rowOff>
    </xdr:from>
    <xdr:to>
      <xdr:col>15</xdr:col>
      <xdr:colOff>94709</xdr:colOff>
      <xdr:row>33</xdr:row>
      <xdr:rowOff>170366</xdr:rowOff>
    </xdr:to>
    <xdr:graphicFrame macro="">
      <xdr:nvGraphicFramePr>
        <xdr:cNvPr id="10" name="Chart 9">
          <a:extLst>
            <a:ext uri="{FF2B5EF4-FFF2-40B4-BE49-F238E27FC236}">
              <a16:creationId xmlns:a16="http://schemas.microsoft.com/office/drawing/2014/main" id="{BA774AB6-EBEA-417F-9EBC-D9CE571DC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583800</xdr:colOff>
      <xdr:row>4</xdr:row>
      <xdr:rowOff>129098</xdr:rowOff>
    </xdr:from>
    <xdr:to>
      <xdr:col>3</xdr:col>
      <xdr:colOff>455881</xdr:colOff>
      <xdr:row>9</xdr:row>
      <xdr:rowOff>47009</xdr:rowOff>
    </xdr:to>
    <xdr:pic>
      <xdr:nvPicPr>
        <xdr:cNvPr id="13" name="Picture 12">
          <a:extLst>
            <a:ext uri="{FF2B5EF4-FFF2-40B4-BE49-F238E27FC236}">
              <a16:creationId xmlns:a16="http://schemas.microsoft.com/office/drawing/2014/main" id="{E408E3EC-0742-CD2F-D61F-5A695C75D6EB}"/>
            </a:ext>
          </a:extLst>
        </xdr:cNvPr>
        <xdr:cNvPicPr>
          <a:picLocks noChangeAspect="1"/>
        </xdr:cNvPicPr>
      </xdr:nvPicPr>
      <xdr:blipFill>
        <a:blip xmlns:r="http://schemas.openxmlformats.org/officeDocument/2006/relationships" r:embed="rId6">
          <a:alphaModFix/>
          <a:extLst>
            <a:ext uri="{28A0092B-C50C-407E-A947-70E740481C1C}">
              <a14:useLocalDpi xmlns:a14="http://schemas.microsoft.com/office/drawing/2010/main" val="0"/>
            </a:ext>
          </a:extLst>
        </a:blip>
        <a:stretch>
          <a:fillRect/>
        </a:stretch>
      </xdr:blipFill>
      <xdr:spPr>
        <a:xfrm>
          <a:off x="583800" y="872513"/>
          <a:ext cx="1684154" cy="847179"/>
        </a:xfrm>
        <a:prstGeom prst="rect">
          <a:avLst/>
        </a:prstGeom>
      </xdr:spPr>
    </xdr:pic>
    <xdr:clientData/>
  </xdr:twoCellAnchor>
  <xdr:twoCellAnchor>
    <xdr:from>
      <xdr:col>4</xdr:col>
      <xdr:colOff>220868</xdr:colOff>
      <xdr:row>4</xdr:row>
      <xdr:rowOff>165653</xdr:rowOff>
    </xdr:from>
    <xdr:to>
      <xdr:col>21</xdr:col>
      <xdr:colOff>511097</xdr:colOff>
      <xdr:row>8</xdr:row>
      <xdr:rowOff>88083</xdr:rowOff>
    </xdr:to>
    <xdr:sp macro="" textlink="">
      <xdr:nvSpPr>
        <xdr:cNvPr id="16" name="TextBox 15">
          <a:extLst>
            <a:ext uri="{FF2B5EF4-FFF2-40B4-BE49-F238E27FC236}">
              <a16:creationId xmlns:a16="http://schemas.microsoft.com/office/drawing/2014/main" id="{E2462ECE-2B42-82B2-733E-2E35E34AC81D}"/>
            </a:ext>
          </a:extLst>
        </xdr:cNvPr>
        <xdr:cNvSpPr txBox="1"/>
      </xdr:nvSpPr>
      <xdr:spPr>
        <a:xfrm>
          <a:off x="2636966" y="909068"/>
          <a:ext cx="10558643" cy="665844"/>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3200">
              <a:solidFill>
                <a:schemeClr val="accent1">
                  <a:lumMod val="50000"/>
                </a:schemeClr>
              </a:solidFill>
              <a:latin typeface="Cambria" panose="02040503050406030204" pitchFamily="18" charset="0"/>
              <a:ea typeface="Cambria" panose="02040503050406030204" pitchFamily="18" charset="0"/>
            </a:rPr>
            <a:t>Stock Data Analysis Dashboard</a:t>
          </a:r>
        </a:p>
      </xdr:txBody>
    </xdr:sp>
    <xdr:clientData/>
  </xdr:twoCellAnchor>
  <xdr:twoCellAnchor>
    <xdr:from>
      <xdr:col>0</xdr:col>
      <xdr:colOff>428994</xdr:colOff>
      <xdr:row>10</xdr:row>
      <xdr:rowOff>148848</xdr:rowOff>
    </xdr:from>
    <xdr:to>
      <xdr:col>4</xdr:col>
      <xdr:colOff>371267</xdr:colOff>
      <xdr:row>16</xdr:row>
      <xdr:rowOff>34242</xdr:rowOff>
    </xdr:to>
    <xdr:sp macro="" textlink="pivotTables!$A$2">
      <xdr:nvSpPr>
        <xdr:cNvPr id="11" name="Rectangle: Rounded Corners 10">
          <a:extLst>
            <a:ext uri="{FF2B5EF4-FFF2-40B4-BE49-F238E27FC236}">
              <a16:creationId xmlns:a16="http://schemas.microsoft.com/office/drawing/2014/main" id="{D12D4DA3-F193-88DA-094D-C0BF2B2D0829}"/>
            </a:ext>
          </a:extLst>
        </xdr:cNvPr>
        <xdr:cNvSpPr/>
      </xdr:nvSpPr>
      <xdr:spPr>
        <a:xfrm>
          <a:off x="428994" y="2016495"/>
          <a:ext cx="2382665" cy="10059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D71D3A-3143-474D-9D46-A462585CBAF0}" type="TxLink">
            <a:rPr lang="en-US" sz="2400" b="0" i="0" u="none" strike="noStrike">
              <a:solidFill>
                <a:schemeClr val="bg1"/>
              </a:solidFill>
              <a:latin typeface="Calibri"/>
              <a:ea typeface="Calibri"/>
              <a:cs typeface="Calibri"/>
            </a:rPr>
            <a:pPr algn="ctr"/>
            <a:t>1,269.00</a:t>
          </a:fld>
          <a:endParaRPr lang="en-IN" sz="4400">
            <a:solidFill>
              <a:schemeClr val="bg1"/>
            </a:solidFill>
          </a:endParaRPr>
        </a:p>
      </xdr:txBody>
    </xdr:sp>
    <xdr:clientData/>
  </xdr:twoCellAnchor>
  <xdr:twoCellAnchor>
    <xdr:from>
      <xdr:col>4</xdr:col>
      <xdr:colOff>568813</xdr:colOff>
      <xdr:row>10</xdr:row>
      <xdr:rowOff>171056</xdr:rowOff>
    </xdr:from>
    <xdr:to>
      <xdr:col>8</xdr:col>
      <xdr:colOff>511085</xdr:colOff>
      <xdr:row>16</xdr:row>
      <xdr:rowOff>57362</xdr:rowOff>
    </xdr:to>
    <xdr:sp macro="" textlink="pivotTables!$A$5">
      <xdr:nvSpPr>
        <xdr:cNvPr id="12" name="Rectangle: Rounded Corners 11">
          <a:extLst>
            <a:ext uri="{FF2B5EF4-FFF2-40B4-BE49-F238E27FC236}">
              <a16:creationId xmlns:a16="http://schemas.microsoft.com/office/drawing/2014/main" id="{50685A39-4658-451F-B84E-ABAF7CA6B2F6}"/>
            </a:ext>
          </a:extLst>
        </xdr:cNvPr>
        <xdr:cNvSpPr/>
      </xdr:nvSpPr>
      <xdr:spPr>
        <a:xfrm>
          <a:off x="2984911" y="2029593"/>
          <a:ext cx="2358369" cy="10014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9C06F6-DB36-4B1C-867C-95284F9CACF4}" type="TxLink">
            <a:rPr lang="en-US" sz="2400" b="0" i="0" u="none" strike="noStrike">
              <a:solidFill>
                <a:schemeClr val="bg1"/>
              </a:solidFill>
              <a:latin typeface="Calibri"/>
              <a:ea typeface="Calibri"/>
              <a:cs typeface="Calibri"/>
            </a:rPr>
            <a:pPr algn="ctr"/>
            <a:t>882.90</a:t>
          </a:fld>
          <a:endParaRPr lang="en-IN" sz="2400">
            <a:solidFill>
              <a:schemeClr val="bg1"/>
            </a:solidFill>
          </a:endParaRPr>
        </a:p>
      </xdr:txBody>
    </xdr:sp>
    <xdr:clientData/>
  </xdr:twoCellAnchor>
  <xdr:twoCellAnchor>
    <xdr:from>
      <xdr:col>9</xdr:col>
      <xdr:colOff>162279</xdr:colOff>
      <xdr:row>10</xdr:row>
      <xdr:rowOff>174907</xdr:rowOff>
    </xdr:from>
    <xdr:to>
      <xdr:col>13</xdr:col>
      <xdr:colOff>104551</xdr:colOff>
      <xdr:row>16</xdr:row>
      <xdr:rowOff>61213</xdr:rowOff>
    </xdr:to>
    <xdr:sp macro="" textlink="pivotTables!$A$8">
      <xdr:nvSpPr>
        <xdr:cNvPr id="15" name="Rectangle: Rounded Corners 14">
          <a:extLst>
            <a:ext uri="{FF2B5EF4-FFF2-40B4-BE49-F238E27FC236}">
              <a16:creationId xmlns:a16="http://schemas.microsoft.com/office/drawing/2014/main" id="{722A2E26-44ED-47BA-8428-AF8D6EA8BB2A}"/>
            </a:ext>
          </a:extLst>
        </xdr:cNvPr>
        <xdr:cNvSpPr/>
      </xdr:nvSpPr>
      <xdr:spPr>
        <a:xfrm>
          <a:off x="5598499" y="2033444"/>
          <a:ext cx="2358369" cy="10014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B63A6C-932E-4AFE-8A05-A26631D54BD6}" type="TxLink">
            <a:rPr lang="en-US" sz="2400" b="0" i="0" u="none" strike="noStrike">
              <a:solidFill>
                <a:schemeClr val="bg1"/>
              </a:solidFill>
              <a:latin typeface="Calibri"/>
              <a:ea typeface="Calibri"/>
              <a:cs typeface="Calibri"/>
            </a:rPr>
            <a:pPr algn="ctr"/>
            <a:t>1,100.80</a:t>
          </a:fld>
          <a:endParaRPr lang="en-IN" sz="2400">
            <a:solidFill>
              <a:schemeClr val="bg1"/>
            </a:solidFill>
          </a:endParaRPr>
        </a:p>
      </xdr:txBody>
    </xdr:sp>
    <xdr:clientData/>
  </xdr:twoCellAnchor>
  <xdr:twoCellAnchor>
    <xdr:from>
      <xdr:col>13</xdr:col>
      <xdr:colOff>356918</xdr:colOff>
      <xdr:row>11</xdr:row>
      <xdr:rowOff>11568</xdr:rowOff>
    </xdr:from>
    <xdr:to>
      <xdr:col>17</xdr:col>
      <xdr:colOff>299191</xdr:colOff>
      <xdr:row>16</xdr:row>
      <xdr:rowOff>81966</xdr:rowOff>
    </xdr:to>
    <xdr:sp macro="" textlink="pivotTables!$A$11">
      <xdr:nvSpPr>
        <xdr:cNvPr id="17" name="Rectangle: Rounded Corners 16">
          <a:extLst>
            <a:ext uri="{FF2B5EF4-FFF2-40B4-BE49-F238E27FC236}">
              <a16:creationId xmlns:a16="http://schemas.microsoft.com/office/drawing/2014/main" id="{93E7787F-75E1-4A07-B9C7-D480FEE303E4}"/>
            </a:ext>
          </a:extLst>
        </xdr:cNvPr>
        <xdr:cNvSpPr/>
      </xdr:nvSpPr>
      <xdr:spPr>
        <a:xfrm>
          <a:off x="8209235" y="2055958"/>
          <a:ext cx="2358371" cy="9996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C0DB3F-0728-4B5F-A6B9-286B054E2BA1}" type="TxLink">
            <a:rPr lang="en-US" sz="2400" b="0" i="0" u="none" strike="noStrike">
              <a:solidFill>
                <a:schemeClr val="bg1"/>
              </a:solidFill>
              <a:latin typeface="Calibri"/>
              <a:ea typeface="Calibri"/>
              <a:cs typeface="Calibri"/>
            </a:rPr>
            <a:pPr algn="ctr"/>
            <a:t>1,212.60</a:t>
          </a:fld>
          <a:endParaRPr lang="en-IN" sz="2400">
            <a:solidFill>
              <a:schemeClr val="bg1"/>
            </a:solidFill>
          </a:endParaRPr>
        </a:p>
      </xdr:txBody>
    </xdr:sp>
    <xdr:clientData/>
  </xdr:twoCellAnchor>
  <xdr:twoCellAnchor>
    <xdr:from>
      <xdr:col>17</xdr:col>
      <xdr:colOff>595909</xdr:colOff>
      <xdr:row>10</xdr:row>
      <xdr:rowOff>174527</xdr:rowOff>
    </xdr:from>
    <xdr:to>
      <xdr:col>21</xdr:col>
      <xdr:colOff>540294</xdr:colOff>
      <xdr:row>16</xdr:row>
      <xdr:rowOff>59072</xdr:rowOff>
    </xdr:to>
    <xdr:sp macro="" textlink="pivotTables!$A$14">
      <xdr:nvSpPr>
        <xdr:cNvPr id="18" name="Rectangle: Rounded Corners 17">
          <a:extLst>
            <a:ext uri="{FF2B5EF4-FFF2-40B4-BE49-F238E27FC236}">
              <a16:creationId xmlns:a16="http://schemas.microsoft.com/office/drawing/2014/main" id="{E4220B0C-61DB-44EC-8B32-ACE458E8A724}"/>
            </a:ext>
          </a:extLst>
        </xdr:cNvPr>
        <xdr:cNvSpPr/>
      </xdr:nvSpPr>
      <xdr:spPr>
        <a:xfrm>
          <a:off x="10864324" y="2033064"/>
          <a:ext cx="2360482" cy="9996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C8B849-919D-40EF-AC5F-204C07984B07}" type="TxLink">
            <a:rPr lang="en-US" sz="2400" b="0" i="0" u="none" strike="noStrike">
              <a:solidFill>
                <a:schemeClr val="bg1"/>
              </a:solidFill>
              <a:latin typeface="Calibri"/>
              <a:ea typeface="Calibri"/>
              <a:cs typeface="Calibri"/>
            </a:rPr>
            <a:pPr algn="ctr"/>
            <a:t>13,49,305.49</a:t>
          </a:fld>
          <a:endParaRPr lang="en-IN" sz="2400">
            <a:solidFill>
              <a:schemeClr val="bg1"/>
            </a:solidFill>
          </a:endParaRPr>
        </a:p>
      </xdr:txBody>
    </xdr:sp>
    <xdr:clientData/>
  </xdr:twoCellAnchor>
  <xdr:twoCellAnchor>
    <xdr:from>
      <xdr:col>1</xdr:col>
      <xdr:colOff>92944</xdr:colOff>
      <xdr:row>11</xdr:row>
      <xdr:rowOff>17887</xdr:rowOff>
    </xdr:from>
    <xdr:to>
      <xdr:col>4</xdr:col>
      <xdr:colOff>101888</xdr:colOff>
      <xdr:row>12</xdr:row>
      <xdr:rowOff>129592</xdr:rowOff>
    </xdr:to>
    <xdr:sp macro="" textlink="">
      <xdr:nvSpPr>
        <xdr:cNvPr id="20" name="TextBox 19">
          <a:extLst>
            <a:ext uri="{FF2B5EF4-FFF2-40B4-BE49-F238E27FC236}">
              <a16:creationId xmlns:a16="http://schemas.microsoft.com/office/drawing/2014/main" id="{EB614BED-A6DE-3F6F-0096-20DF6DEB8C60}"/>
            </a:ext>
          </a:extLst>
        </xdr:cNvPr>
        <xdr:cNvSpPr txBox="1"/>
      </xdr:nvSpPr>
      <xdr:spPr>
        <a:xfrm>
          <a:off x="702026" y="2013601"/>
          <a:ext cx="1836189" cy="293134"/>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1400">
              <a:solidFill>
                <a:schemeClr val="bg1"/>
              </a:solidFill>
            </a:rPr>
            <a:t>Max</a:t>
          </a:r>
          <a:r>
            <a:rPr lang="en-IN" sz="1400" baseline="0">
              <a:solidFill>
                <a:schemeClr val="bg1"/>
              </a:solidFill>
            </a:rPr>
            <a:t> </a:t>
          </a:r>
          <a:r>
            <a:rPr lang="en-IN" sz="1400">
              <a:solidFill>
                <a:schemeClr val="bg1"/>
              </a:solidFill>
            </a:rPr>
            <a:t>of 52W High</a:t>
          </a:r>
        </a:p>
      </xdr:txBody>
    </xdr:sp>
    <xdr:clientData/>
  </xdr:twoCellAnchor>
  <xdr:twoCellAnchor>
    <xdr:from>
      <xdr:col>5</xdr:col>
      <xdr:colOff>263293</xdr:colOff>
      <xdr:row>11</xdr:row>
      <xdr:rowOff>30976</xdr:rowOff>
    </xdr:from>
    <xdr:to>
      <xdr:col>8</xdr:col>
      <xdr:colOff>170366</xdr:colOff>
      <xdr:row>12</xdr:row>
      <xdr:rowOff>154878</xdr:rowOff>
    </xdr:to>
    <xdr:sp macro="" textlink="">
      <xdr:nvSpPr>
        <xdr:cNvPr id="21" name="TextBox 20">
          <a:extLst>
            <a:ext uri="{FF2B5EF4-FFF2-40B4-BE49-F238E27FC236}">
              <a16:creationId xmlns:a16="http://schemas.microsoft.com/office/drawing/2014/main" id="{6061CADD-6B22-A198-DF03-B38C5DE7D9A8}"/>
            </a:ext>
          </a:extLst>
        </xdr:cNvPr>
        <xdr:cNvSpPr txBox="1"/>
      </xdr:nvSpPr>
      <xdr:spPr>
        <a:xfrm>
          <a:off x="3283415" y="2075366"/>
          <a:ext cx="1719146" cy="309756"/>
        </a:xfrm>
        <a:prstGeom prst="rect">
          <a:avLst/>
        </a:prstGeom>
        <a:noFill/>
        <a:ln>
          <a:no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IN" sz="1400">
              <a:solidFill>
                <a:schemeClr val="bg1"/>
              </a:solidFill>
            </a:rPr>
            <a:t>Min of 52W Low</a:t>
          </a:r>
        </a:p>
      </xdr:txBody>
    </xdr:sp>
    <xdr:clientData/>
  </xdr:twoCellAnchor>
  <xdr:twoCellAnchor>
    <xdr:from>
      <xdr:col>9</xdr:col>
      <xdr:colOff>371708</xdr:colOff>
      <xdr:row>11</xdr:row>
      <xdr:rowOff>15489</xdr:rowOff>
    </xdr:from>
    <xdr:to>
      <xdr:col>12</xdr:col>
      <xdr:colOff>387195</xdr:colOff>
      <xdr:row>13</xdr:row>
      <xdr:rowOff>15488</xdr:rowOff>
    </xdr:to>
    <xdr:sp macro="" textlink="">
      <xdr:nvSpPr>
        <xdr:cNvPr id="22" name="TextBox 21">
          <a:extLst>
            <a:ext uri="{FF2B5EF4-FFF2-40B4-BE49-F238E27FC236}">
              <a16:creationId xmlns:a16="http://schemas.microsoft.com/office/drawing/2014/main" id="{11C0F823-E45F-9051-C129-25CC352E8BC8}"/>
            </a:ext>
          </a:extLst>
        </xdr:cNvPr>
        <xdr:cNvSpPr txBox="1"/>
      </xdr:nvSpPr>
      <xdr:spPr>
        <a:xfrm>
          <a:off x="5807928" y="2059879"/>
          <a:ext cx="1827560" cy="37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Average of OPEN</a:t>
          </a:r>
        </a:p>
      </xdr:txBody>
    </xdr:sp>
    <xdr:clientData/>
  </xdr:twoCellAnchor>
  <xdr:twoCellAnchor>
    <xdr:from>
      <xdr:col>13</xdr:col>
      <xdr:colOff>542073</xdr:colOff>
      <xdr:row>11</xdr:row>
      <xdr:rowOff>46463</xdr:rowOff>
    </xdr:from>
    <xdr:to>
      <xdr:col>17</xdr:col>
      <xdr:colOff>30975</xdr:colOff>
      <xdr:row>12</xdr:row>
      <xdr:rowOff>154877</xdr:rowOff>
    </xdr:to>
    <xdr:sp macro="" textlink="">
      <xdr:nvSpPr>
        <xdr:cNvPr id="24" name="TextBox 23">
          <a:extLst>
            <a:ext uri="{FF2B5EF4-FFF2-40B4-BE49-F238E27FC236}">
              <a16:creationId xmlns:a16="http://schemas.microsoft.com/office/drawing/2014/main" id="{1C5DFC70-DA39-F869-6A8C-402B9A73EA57}"/>
            </a:ext>
          </a:extLst>
        </xdr:cNvPr>
        <xdr:cNvSpPr txBox="1"/>
      </xdr:nvSpPr>
      <xdr:spPr>
        <a:xfrm>
          <a:off x="8394390" y="2090853"/>
          <a:ext cx="1905000" cy="294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Max of CLOSE</a:t>
          </a:r>
        </a:p>
      </xdr:txBody>
    </xdr:sp>
    <xdr:clientData/>
  </xdr:twoCellAnchor>
  <xdr:twoCellAnchor>
    <xdr:from>
      <xdr:col>18</xdr:col>
      <xdr:colOff>13015</xdr:colOff>
      <xdr:row>11</xdr:row>
      <xdr:rowOff>15898</xdr:rowOff>
    </xdr:from>
    <xdr:to>
      <xdr:col>21</xdr:col>
      <xdr:colOff>463913</xdr:colOff>
      <xdr:row>12</xdr:row>
      <xdr:rowOff>162440</xdr:rowOff>
    </xdr:to>
    <xdr:sp macro="" textlink="">
      <xdr:nvSpPr>
        <xdr:cNvPr id="26" name="TextBox 25">
          <a:extLst>
            <a:ext uri="{FF2B5EF4-FFF2-40B4-BE49-F238E27FC236}">
              <a16:creationId xmlns:a16="http://schemas.microsoft.com/office/drawing/2014/main" id="{18B4FD7F-3681-F4E5-4834-58C1C6F4E624}"/>
            </a:ext>
          </a:extLst>
        </xdr:cNvPr>
        <xdr:cNvSpPr txBox="1"/>
      </xdr:nvSpPr>
      <xdr:spPr>
        <a:xfrm>
          <a:off x="10911387" y="1965200"/>
          <a:ext cx="2267293" cy="323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Average of VOLUME</a:t>
          </a:r>
        </a:p>
      </xdr:txBody>
    </xdr:sp>
    <xdr:clientData/>
  </xdr:twoCellAnchor>
  <xdr:oneCellAnchor>
    <xdr:from>
      <xdr:col>18</xdr:col>
      <xdr:colOff>480122</xdr:colOff>
      <xdr:row>12</xdr:row>
      <xdr:rowOff>108415</xdr:rowOff>
    </xdr:from>
    <xdr:ext cx="184731" cy="264560"/>
    <xdr:sp macro="" textlink="">
      <xdr:nvSpPr>
        <xdr:cNvPr id="27" name="TextBox 26">
          <a:extLst>
            <a:ext uri="{FF2B5EF4-FFF2-40B4-BE49-F238E27FC236}">
              <a16:creationId xmlns:a16="http://schemas.microsoft.com/office/drawing/2014/main" id="{F2ADD890-A3AE-D752-A346-5DC843667D2D}"/>
            </a:ext>
          </a:extLst>
        </xdr:cNvPr>
        <xdr:cNvSpPr txBox="1"/>
      </xdr:nvSpPr>
      <xdr:spPr>
        <a:xfrm>
          <a:off x="11352561" y="23386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5300926" backgroundQuery="1" createdVersion="8" refreshedVersion="8" minRefreshableVersion="3" recordCount="0" supportSubquery="1" supportAdvancedDrill="1" xr:uid="{83117558-5364-4C49-87E5-078A2D9B5EFC}">
  <cacheSource type="external" connectionId="1"/>
  <cacheFields count="4">
    <cacheField name="[Measures].[Average of CLOSE]" caption="Average of CLOSE" numFmtId="0" hierarchy="39" level="32767"/>
    <cacheField name="[Measures].[Average of OPEN]" caption="Average of OPEN" numFmtId="0" hierarchy="38" level="32767"/>
    <cacheField name="[TATA].[DATE (Month)].[DATE (Month)]" caption="DATE (Month)" numFmtId="0" hierarchy="19" level="1">
      <sharedItems count="12">
        <s v="Jan"/>
        <s v="Feb"/>
        <s v="Mar"/>
        <s v="Apr"/>
        <s v="May"/>
        <s v="Jun"/>
        <s v="Jul"/>
        <s v="Aug"/>
        <s v="Sep"/>
        <s v="Oct"/>
        <s v="Nov"/>
        <s v="Dec"/>
      </sharedItems>
    </cacheField>
    <cacheField name="[TATA].[Day].[Day]" caption="Day" numFmtId="0" hierarchy="1" level="1">
      <sharedItems containsSemiMixedTypes="0" containsNonDate="0" containsString="0"/>
    </cacheField>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3"/>
      </fieldsUsage>
    </cacheHierarchy>
    <cacheHierarchy uniqueName="[TATA].[Month]" caption="Month" attribute="1" defaultMemberUniqueName="[TATA].[Month].[All]" allUniqueName="[TATA].[Month].[All]" dimensionUniqueName="[TATA]" displayFolder="" count="2" memberValueDatatype="130" unbalanced="0"/>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2" memberValueDatatype="130" unbalanced="0">
      <fieldsUsage count="2">
        <fieldUsage x="-1"/>
        <fieldUsage x="2"/>
      </fieldsUsage>
    </cacheHierarchy>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hidden="1">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hidden="1">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hidden="1">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hidden="1">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5879627" backgroundQuery="1" createdVersion="8" refreshedVersion="8" minRefreshableVersion="3" recordCount="0" supportSubquery="1" supportAdvancedDrill="1" xr:uid="{AF025037-06F2-4D9E-B1AD-CD9235D1E990}">
  <cacheSource type="external" connectionId="1"/>
  <cacheFields count="3">
    <cacheField name="[TATA].[Day].[Day]" caption="Day" numFmtId="0" hierarchy="1" level="1">
      <sharedItems count="5">
        <s v="Friday"/>
        <s v="Monday"/>
        <s v="Thursday"/>
        <s v="Tuesday"/>
        <s v="Wednesday"/>
      </sharedItems>
    </cacheField>
    <cacheField name="[Measures].[Average of OPEN]" caption="Average of OPEN" numFmtId="0" hierarchy="38" level="32767"/>
    <cacheField name="[Measures].[Average of CLOSE]" caption="Average of CLOSE" numFmtId="0" hierarchy="39" level="32767"/>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0"/>
      </fieldsUsage>
    </cacheHierarchy>
    <cacheHierarchy uniqueName="[TATA].[Month]" caption="Month" attribute="1" defaultMemberUniqueName="[TATA].[Month].[All]" allUniqueName="[TATA].[Month].[All]" dimensionUniqueName="[TATA]" displayFolder="" count="2" memberValueDatatype="130" unbalanced="0"/>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0" memberValueDatatype="130" unbalanced="0"/>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hidden="1">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hidden="1">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hidden="1">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hidden="1">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6458335" backgroundQuery="1" createdVersion="8" refreshedVersion="8" minRefreshableVersion="3" recordCount="0" supportSubquery="1" supportAdvancedDrill="1" xr:uid="{1A5E6F02-A527-4AE6-A674-CA35C8DB80A7}">
  <cacheSource type="external" connectionId="1"/>
  <cacheFields count="4">
    <cacheField name="[TATA].[Month].[Month]" caption="Month" numFmtId="0" hierarchy="2" level="1">
      <sharedItems count="12">
        <s v="April"/>
        <s v="August"/>
        <s v="December"/>
        <s v="February"/>
        <s v="January"/>
        <s v="July"/>
        <s v="June"/>
        <s v="March"/>
        <s v="May"/>
        <s v="November"/>
        <s v="October"/>
        <s v="September"/>
      </sharedItems>
    </cacheField>
    <cacheField name="[Measures].[Sum of VOLUME]" caption="Sum of VOLUME" numFmtId="0" hierarchy="31" level="32767"/>
    <cacheField name="[Measures].[Average of Daily Range]" caption="Average of Daily Range" numFmtId="0" hierarchy="37" level="32767"/>
    <cacheField name="[TATA].[Day].[Day]" caption="Day" numFmtId="0" hierarchy="1" level="1">
      <sharedItems containsSemiMixedTypes="0" containsNonDate="0" containsString="0"/>
    </cacheField>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3"/>
      </fieldsUsage>
    </cacheHierarchy>
    <cacheHierarchy uniqueName="[TATA].[Month]" caption="Month" attribute="1" defaultMemberUniqueName="[TATA].[Month].[All]" allUniqueName="[TATA].[Month].[All]" dimensionUniqueName="[TATA]" displayFolder="" count="2" memberValueDatatype="130" unbalanced="0">
      <fieldsUsage count="2">
        <fieldUsage x="-1"/>
        <fieldUsage x="0"/>
      </fieldsUsage>
    </cacheHierarchy>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0" memberValueDatatype="130" unbalanced="0"/>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hidden="1">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hidden="1">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hidden="1">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hidden="1">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6921296" backgroundQuery="1" createdVersion="8" refreshedVersion="8" minRefreshableVersion="3" recordCount="0" supportSubquery="1" supportAdvancedDrill="1" xr:uid="{27A5ABCB-D5D8-4CE3-AB28-855F50B8B94D}">
  <cacheSource type="external" connectionId="1"/>
  <cacheFields count="4">
    <cacheField name="[TATA].[Quarter].[Quarter]" caption="Quarter" numFmtId="0" hierarchy="3" level="1">
      <sharedItems count="4">
        <s v="Q1"/>
        <s v="Q2"/>
        <s v="Q3"/>
        <s v="Q4"/>
      </sharedItems>
    </cacheField>
    <cacheField name="[Measures].[Max of 52W H]" caption="Max of 52W H" numFmtId="0" hierarchy="33" level="32767"/>
    <cacheField name="[Measures].[Min of 52W L]" caption="Min of 52W L" numFmtId="0" hierarchy="35" level="32767"/>
    <cacheField name="[TATA].[Day].[Day]" caption="Day" numFmtId="0" hierarchy="1" level="1">
      <sharedItems containsSemiMixedTypes="0" containsNonDate="0" containsString="0"/>
    </cacheField>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3"/>
      </fieldsUsage>
    </cacheHierarchy>
    <cacheHierarchy uniqueName="[TATA].[Month]" caption="Month" attribute="1" defaultMemberUniqueName="[TATA].[Month].[All]" allUniqueName="[TATA].[Month].[All]" dimensionUniqueName="[TATA]" displayFolder="" count="2" memberValueDatatype="130" unbalanced="0"/>
    <cacheHierarchy uniqueName="[TATA].[Quarter]" caption="Quarter" attribute="1" defaultMemberUniqueName="[TATA].[Quarter].[All]" allUniqueName="[TATA].[Quarter].[All]" dimensionUniqueName="[TATA]" displayFolder="" count="2" memberValueDatatype="130" unbalanced="0">
      <fieldsUsage count="2">
        <fieldUsage x="-1"/>
        <fieldUsage x="0"/>
      </fieldsUsage>
    </cacheHierarchy>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0" memberValueDatatype="130" unbalanced="0"/>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hidden="1">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oneField="1" hidden="1">
      <fieldsUsage count="1">
        <fieldUsage x="1"/>
      </fieldsUsage>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hidden="1">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hidden="1">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7152781" backgroundQuery="1" createdVersion="8" refreshedVersion="8" minRefreshableVersion="3" recordCount="0" supportSubquery="1" supportAdvancedDrill="1" xr:uid="{64B6043A-2043-4C0F-8D17-5DED9AF9B8EF}">
  <cacheSource type="external" connectionId="1"/>
  <cacheFields count="2">
    <cacheField name="[Measures].[Max of 52W H]" caption="Max of 52W H" numFmtId="0" hierarchy="33" level="32767"/>
    <cacheField name="[TATA].[Day].[Day]" caption="Day" numFmtId="0" hierarchy="1" level="1">
      <sharedItems containsSemiMixedTypes="0" containsNonDate="0" containsString="0"/>
    </cacheField>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1"/>
      </fieldsUsage>
    </cacheHierarchy>
    <cacheHierarchy uniqueName="[TATA].[Month]" caption="Month" attribute="1" defaultMemberUniqueName="[TATA].[Month].[All]" allUniqueName="[TATA].[Month].[All]" dimensionUniqueName="[TATA]" displayFolder="" count="2" memberValueDatatype="130" unbalanced="0"/>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0" memberValueDatatype="130" unbalanced="0"/>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hidden="1">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oneField="1" hidden="1">
      <fieldsUsage count="1">
        <fieldUsage x="0"/>
      </fieldsUsage>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hidden="1">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hidden="1">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hidden="1">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784722" backgroundQuery="1" createdVersion="8" refreshedVersion="8" minRefreshableVersion="3" recordCount="0" supportSubquery="1" supportAdvancedDrill="1" xr:uid="{A430BBD0-7EFF-4788-93A0-AD77BDCD6D83}">
  <cacheSource type="external" connectionId="1"/>
  <cacheFields count="3">
    <cacheField name="[TATA].[DATE (Month)].[DATE (Month)]" caption="DATE (Month)" numFmtId="0" hierarchy="19" level="1">
      <sharedItems count="12">
        <s v="Jan"/>
        <s v="Feb"/>
        <s v="Mar"/>
        <s v="Apr"/>
        <s v="May"/>
        <s v="Jun"/>
        <s v="Jul"/>
        <s v="Aug"/>
        <s v="Sep"/>
        <s v="Oct"/>
        <s v="Nov"/>
        <s v="Dec"/>
      </sharedItems>
    </cacheField>
    <cacheField name="[Measures].[Sum of VOLUME]" caption="Sum of VOLUME" numFmtId="0" hierarchy="31" level="32767"/>
    <cacheField name="[TATA].[Day].[Day]" caption="Day" numFmtId="0" hierarchy="1" level="1">
      <sharedItems containsSemiMixedTypes="0" containsNonDate="0" containsString="0"/>
    </cacheField>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2"/>
      </fieldsUsage>
    </cacheHierarchy>
    <cacheHierarchy uniqueName="[TATA].[Month]" caption="Month" attribute="1" defaultMemberUniqueName="[TATA].[Month].[All]" allUniqueName="[TATA].[Month].[All]" dimensionUniqueName="[TATA]" displayFolder="" count="2" memberValueDatatype="130" unbalanced="0"/>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2" memberValueDatatype="130" unbalanced="0">
      <fieldsUsage count="2">
        <fieldUsage x="-1"/>
        <fieldUsage x="0"/>
      </fieldsUsage>
    </cacheHierarchy>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hidden="1">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hidden="1">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hidden="1">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hidden="1">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7962966" backgroundQuery="1" createdVersion="8" refreshedVersion="8" minRefreshableVersion="3" recordCount="0" supportSubquery="1" supportAdvancedDrill="1" xr:uid="{16722BD9-D49D-48E9-9F7A-15821B94BA82}">
  <cacheSource type="external" connectionId="1"/>
  <cacheFields count="2">
    <cacheField name="[Measures].[Min of 52W L]" caption="Min of 52W L" numFmtId="0" hierarchy="35" level="32767"/>
    <cacheField name="[TATA].[Day].[Day]" caption="Day" numFmtId="0" hierarchy="1" level="1">
      <sharedItems containsSemiMixedTypes="0" containsNonDate="0" containsString="0"/>
    </cacheField>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1"/>
      </fieldsUsage>
    </cacheHierarchy>
    <cacheHierarchy uniqueName="[TATA].[Month]" caption="Month" attribute="1" defaultMemberUniqueName="[TATA].[Month].[All]" allUniqueName="[TATA].[Month].[All]" dimensionUniqueName="[TATA]" displayFolder="" count="0" memberValueDatatype="130" unbalanced="0"/>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0" memberValueDatatype="130" unbalanced="0"/>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hidden="1">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hidden="1">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hidden="1">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hidden="1">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8310182" backgroundQuery="1" createdVersion="8" refreshedVersion="8" minRefreshableVersion="3" recordCount="0" supportSubquery="1" supportAdvancedDrill="1" xr:uid="{63EBD21D-734D-4FB7-A371-247A0DF1AA91}">
  <cacheSource type="external" connectionId="1"/>
  <cacheFields count="2">
    <cacheField name="[Measures].[Average of OPEN]" caption="Average of OPEN" numFmtId="0" hierarchy="38" level="32767"/>
    <cacheField name="[TATA].[Day].[Day]" caption="Day" numFmtId="0" hierarchy="1" level="1">
      <sharedItems containsSemiMixedTypes="0" containsNonDate="0" containsString="0"/>
    </cacheField>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1"/>
      </fieldsUsage>
    </cacheHierarchy>
    <cacheHierarchy uniqueName="[TATA].[Month]" caption="Month" attribute="1" defaultMemberUniqueName="[TATA].[Month].[All]" allUniqueName="[TATA].[Month].[All]" dimensionUniqueName="[TATA]" displayFolder="" count="0" memberValueDatatype="130" unbalanced="0"/>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0" memberValueDatatype="130" unbalanced="0"/>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hidden="1">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hidden="1">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hidden="1">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hidden="1">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hidden="1">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8425928" backgroundQuery="1" createdVersion="8" refreshedVersion="8" minRefreshableVersion="3" recordCount="0" supportSubquery="1" supportAdvancedDrill="1" xr:uid="{D39883D4-F63C-4114-ABDA-4E8281E3E402}">
  <cacheSource type="external" connectionId="1"/>
  <cacheFields count="2">
    <cacheField name="[Measures].[Max of CLOSE]" caption="Max of CLOSE" numFmtId="0" hierarchy="48" level="32767"/>
    <cacheField name="[TATA].[Day].[Day]" caption="Day" numFmtId="0" hierarchy="1" level="1">
      <sharedItems containsSemiMixedTypes="0" containsNonDate="0" containsString="0"/>
    </cacheField>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1"/>
      </fieldsUsage>
    </cacheHierarchy>
    <cacheHierarchy uniqueName="[TATA].[Month]" caption="Month" attribute="1" defaultMemberUniqueName="[TATA].[Month].[All]" allUniqueName="[TATA].[Month].[All]" dimensionUniqueName="[TATA]" displayFolder="" count="2" memberValueDatatype="130" unbalanced="0"/>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0" memberValueDatatype="130" unbalanced="0"/>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hidden="1">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hidden="1">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hidden="1">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hidden="1">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hidden="1">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600888657405" backgroundQuery="1" createdVersion="8" refreshedVersion="8" minRefreshableVersion="3" recordCount="0" supportSubquery="1" supportAdvancedDrill="1" xr:uid="{95193F7A-022B-4B29-902A-BA81450BCF04}">
  <cacheSource type="external" connectionId="1"/>
  <cacheFields count="2">
    <cacheField name="[Measures].[Average of VOLUME]" caption="Average of VOLUME" numFmtId="0" hierarchy="42" level="32767"/>
    <cacheField name="[TATA].[Day].[Day]" caption="Day" numFmtId="0" hierarchy="1" level="1">
      <sharedItems containsSemiMixedTypes="0" containsNonDate="0" containsString="0"/>
    </cacheField>
  </cacheFields>
  <cacheHierarchies count="49">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fieldsUsage count="2">
        <fieldUsage x="-1"/>
        <fieldUsage x="1"/>
      </fieldsUsage>
    </cacheHierarchy>
    <cacheHierarchy uniqueName="[TATA].[Month]" caption="Month" attribute="1" defaultMemberUniqueName="[TATA].[Month].[All]" allUniqueName="[TATA].[Month].[All]" dimensionUniqueName="[TATA]" displayFolder="" count="2" memberValueDatatype="130" unbalanced="0"/>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0"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0" memberValueDatatype="130" unbalanced="0"/>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hidden="1">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hidden="1">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hidden="1">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hidden="1">
      <extLst>
        <ext xmlns:x15="http://schemas.microsoft.com/office/spreadsheetml/2010/11/main" uri="{B97F6D7D-B522-45F9-BDA1-12C45D357490}">
          <x15:cacheHierarchy aggregatedColumn="11"/>
        </ext>
      </extLst>
    </cacheHierarchy>
    <cacheHierarchy uniqueName="[Measures].[Sum of Daily Price Change %]" caption="Sum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Daily Price Change %]" caption="Average of Daily Price Change %" measure="1" displayFolder="" measureGroup="TATA" count="0" hidden="1">
      <extLst>
        <ext xmlns:x15="http://schemas.microsoft.com/office/spreadsheetml/2010/11/main" uri="{B97F6D7D-B522-45F9-BDA1-12C45D357490}">
          <x15:cacheHierarchy aggregatedColumn="21"/>
        </ext>
      </extLst>
    </cacheHierarchy>
    <cacheHierarchy uniqueName="[Measures].[Average of VOLUME]" caption="Average of VOLUME" measure="1" displayFolder="" measureGroup="TATA" count="0" oneField="1" hidden="1">
      <fieldsUsage count="1">
        <fieldUsage x="0"/>
      </fieldsUsage>
      <extLst>
        <ext xmlns:x15="http://schemas.microsoft.com/office/spreadsheetml/2010/11/main" uri="{B97F6D7D-B522-45F9-BDA1-12C45D357490}">
          <x15:cacheHierarchy aggregatedColumn="15"/>
        </ext>
      </extLst>
    </cacheHierarchy>
    <cacheHierarchy uniqueName="[Measures].[Max of VOLUME]" caption="Max of VOLUME" measure="1" displayFolder="" measureGroup="TATA" count="0" hidden="1">
      <extLst>
        <ext xmlns:x15="http://schemas.microsoft.com/office/spreadsheetml/2010/11/main" uri="{B97F6D7D-B522-45F9-BDA1-12C45D357490}">
          <x15:cacheHierarchy aggregatedColumn="15"/>
        </ext>
      </extLst>
    </cacheHierarchy>
    <cacheHierarchy uniqueName="[Measures].[Sum of NO. OF  TRADES]" caption="Sum of NO. OF  TRADES" measure="1" displayFolder="" measureGroup="TATA" count="0" hidden="1">
      <extLst>
        <ext xmlns:x15="http://schemas.microsoft.com/office/spreadsheetml/2010/11/main" uri="{B97F6D7D-B522-45F9-BDA1-12C45D357490}">
          <x15:cacheHierarchy aggregatedColumn="16"/>
        </ext>
      </extLst>
    </cacheHierarchy>
    <cacheHierarchy uniqueName="[Measures].[Sum of LTP]" caption="Sum of LTP" measure="1" displayFolder="" measureGroup="TATA" count="0" hidden="1">
      <extLst>
        <ext xmlns:x15="http://schemas.microsoft.com/office/spreadsheetml/2010/11/main" uri="{B97F6D7D-B522-45F9-BDA1-12C45D357490}">
          <x15:cacheHierarchy aggregatedColumn="10"/>
        </ext>
      </extLst>
    </cacheHierarchy>
    <cacheHierarchy uniqueName="[Measures].[Max of LTP]" caption="Max of LTP" measure="1" displayFolder="" measureGroup="TATA" count="0" hidden="1">
      <extLst>
        <ext xmlns:x15="http://schemas.microsoft.com/office/spreadsheetml/2010/11/main" uri="{B97F6D7D-B522-45F9-BDA1-12C45D357490}">
          <x15:cacheHierarchy aggregatedColumn="10"/>
        </ext>
      </extLst>
    </cacheHierarchy>
    <cacheHierarchy uniqueName="[Measures].[Average of LTP]" caption="Average of LTP" measure="1" displayFolder="" measureGroup="TATA" count="0" hidden="1">
      <extLst>
        <ext xmlns:x15="http://schemas.microsoft.com/office/spreadsheetml/2010/11/main" uri="{B97F6D7D-B522-45F9-BDA1-12C45D357490}">
          <x15:cacheHierarchy aggregatedColumn="10"/>
        </ext>
      </extLst>
    </cacheHierarchy>
    <cacheHierarchy uniqueName="[Measures].[Max of CLOSE]" caption="Max of CLOSE" measure="1" displayFolder="" measureGroup="TATA"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TA" uniqueName="[TATA]" caption="TATA"/>
  </dimensions>
  <measureGroups count="1">
    <measureGroup name="TATA" caption="T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jadhav" refreshedDate="46055.085433333334" backgroundQuery="1" createdVersion="3" refreshedVersion="8" minRefreshableVersion="3" recordCount="0" supportSubquery="1" supportAdvancedDrill="1" xr:uid="{D5AC6462-4212-46DF-BCA2-FDD767B34E5D}">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TATA].[DATE]" caption="DATE" attribute="1" time="1" defaultMemberUniqueName="[TATA].[DATE].[All]" allUniqueName="[TATA].[DATE].[All]" dimensionUniqueName="[TATA]" displayFolder="" count="0" memberValueDatatype="7" unbalanced="0"/>
    <cacheHierarchy uniqueName="[TATA].[Day]" caption="Day" attribute="1" defaultMemberUniqueName="[TATA].[Day].[All]" allUniqueName="[TATA].[Day].[All]" dimensionUniqueName="[TATA]" displayFolder="" count="2" memberValueDatatype="130" unbalanced="0"/>
    <cacheHierarchy uniqueName="[TATA].[Month]" caption="Month" attribute="1" defaultMemberUniqueName="[TATA].[Month].[All]" allUniqueName="[TATA].[Month].[All]" dimensionUniqueName="[TATA]" displayFolder="" count="2" memberValueDatatype="130" unbalanced="0"/>
    <cacheHierarchy uniqueName="[TATA].[Quarter]" caption="Quarter" attribute="1" defaultMemberUniqueName="[TATA].[Quarter].[All]" allUniqueName="[TATA].[Quarter].[All]" dimensionUniqueName="[TATA]" displayFolder="" count="2" memberValueDatatype="130" unbalanced="0"/>
    <cacheHierarchy uniqueName="[TATA].[Year]" caption="Year" attribute="1" defaultMemberUniqueName="[TATA].[Year].[All]" allUniqueName="[TATA].[Year].[All]" dimensionUniqueName="[TATA]" displayFolder="" count="2" memberValueDatatype="130" unbalanced="0"/>
    <cacheHierarchy uniqueName="[TATA].[SERIES]" caption="SERIES" attribute="1" defaultMemberUniqueName="[TATA].[SERIES].[All]" allUniqueName="[TATA].[SERIES].[All]" dimensionUniqueName="[TATA]" displayFolder="" count="0" memberValueDatatype="130" unbalanced="0"/>
    <cacheHierarchy uniqueName="[TATA].[OPEN]" caption="OPEN" attribute="1" defaultMemberUniqueName="[TATA].[OPEN].[All]" allUniqueName="[TATA].[OPEN].[All]" dimensionUniqueName="[TATA]" displayFolder="" count="0" memberValueDatatype="5" unbalanced="0"/>
    <cacheHierarchy uniqueName="[TATA].[HIGH]" caption="HIGH" attribute="1" defaultMemberUniqueName="[TATA].[HIGH].[All]" allUniqueName="[TATA].[HIGH].[All]" dimensionUniqueName="[TATA]" displayFolder="" count="0" memberValueDatatype="5" unbalanced="0"/>
    <cacheHierarchy uniqueName="[TATA].[LOW]" caption="LOW" attribute="1" defaultMemberUniqueName="[TATA].[LOW].[All]" allUniqueName="[TATA].[LOW].[All]" dimensionUniqueName="[TATA]" displayFolder="" count="0" memberValueDatatype="5" unbalanced="0"/>
    <cacheHierarchy uniqueName="[TATA].[PREV. CLOSE]" caption="PREV. CLOSE" attribute="1" defaultMemberUniqueName="[TATA].[PREV. CLOSE].[All]" allUniqueName="[TATA].[PREV. CLOSE].[All]" dimensionUniqueName="[TATA]" displayFolder="" count="0" memberValueDatatype="5" unbalanced="0"/>
    <cacheHierarchy uniqueName="[TATA].[LTP]" caption="LTP" attribute="1" defaultMemberUniqueName="[TATA].[LTP].[All]" allUniqueName="[TATA].[LTP].[All]" dimensionUniqueName="[TATA]" displayFolder="" count="0" memberValueDatatype="5" unbalanced="0"/>
    <cacheHierarchy uniqueName="[TATA].[CLOSE]" caption="CLOSE" attribute="1" defaultMemberUniqueName="[TATA].[CLOSE].[All]" allUniqueName="[TATA].[CLOSE].[All]" dimensionUniqueName="[TATA]" displayFolder="" count="0" memberValueDatatype="5" unbalanced="0"/>
    <cacheHierarchy uniqueName="[TATA].[VWAP]" caption="VWAP" attribute="1" defaultMemberUniqueName="[TATA].[VWAP].[All]" allUniqueName="[TATA].[VWAP].[All]" dimensionUniqueName="[TATA]" displayFolder="" count="0" memberValueDatatype="5" unbalanced="0"/>
    <cacheHierarchy uniqueName="[TATA].[52W H]" caption="52W H" attribute="1" defaultMemberUniqueName="[TATA].[52W H].[All]" allUniqueName="[TATA].[52W H].[All]" dimensionUniqueName="[TATA]" displayFolder="" count="0" memberValueDatatype="5" unbalanced="0"/>
    <cacheHierarchy uniqueName="[TATA].[52W L]" caption="52W L" attribute="1" defaultMemberUniqueName="[TATA].[52W L].[All]" allUniqueName="[TATA].[52W L].[All]" dimensionUniqueName="[TATA]" displayFolder="" count="0" memberValueDatatype="5" unbalanced="0"/>
    <cacheHierarchy uniqueName="[TATA].[VOLUME]" caption="VOLUME" attribute="1" defaultMemberUniqueName="[TATA].[VOLUME].[All]" allUniqueName="[TATA].[VOLUME].[All]" dimensionUniqueName="[TATA]" displayFolder="" count="0" memberValueDatatype="20" unbalanced="0"/>
    <cacheHierarchy uniqueName="[TATA].[NO. OF  TRADES]" caption="NO. OF  TRADES" attribute="1" defaultMemberUniqueName="[TATA].[NO. OF  TRADES].[All]" allUniqueName="[TATA].[NO. OF  TRADES].[All]" dimensionUniqueName="[TATA]" displayFolder="" count="0" memberValueDatatype="20" unbalanced="0"/>
    <cacheHierarchy uniqueName="[TATA].[DATE (Year)]" caption="DATE (Year)" attribute="1" defaultMemberUniqueName="[TATA].[DATE (Year)].[All]" allUniqueName="[TATA].[DATE (Year)].[All]" dimensionUniqueName="[TATA]" displayFolder="" count="0" memberValueDatatype="130" unbalanced="0"/>
    <cacheHierarchy uniqueName="[TATA].[DATE (Quarter)]" caption="DATE (Quarter)" attribute="1" defaultMemberUniqueName="[TATA].[DATE (Quarter)].[All]" allUniqueName="[TATA].[DATE (Quarter)].[All]" dimensionUniqueName="[TATA]" displayFolder="" count="0" memberValueDatatype="130" unbalanced="0"/>
    <cacheHierarchy uniqueName="[TATA].[DATE (Month)]" caption="DATE (Month)" attribute="1" defaultMemberUniqueName="[TATA].[DATE (Month)].[All]" allUniqueName="[TATA].[DATE (Month)].[All]" dimensionUniqueName="[TATA]" displayFolder="" count="0" memberValueDatatype="130" unbalanced="0"/>
    <cacheHierarchy uniqueName="[TATA].[Daily Range]" caption="Daily Range" attribute="1" defaultMemberUniqueName="[TATA].[Daily Range].[All]" allUniqueName="[TATA].[Daily Range].[All]" dimensionUniqueName="[TATA]" displayFolder="" count="0" memberValueDatatype="5" unbalanced="0"/>
    <cacheHierarchy uniqueName="[TATA].[Daily Price Change %]" caption="Daily Price Change %" attribute="1" defaultMemberUniqueName="[TATA].[Daily Price Change %].[All]" allUniqueName="[TATA].[Daily Price Change %].[All]" dimensionUniqueName="[TATA]" displayFolder="" count="0" memberValueDatatype="5" unbalanced="0"/>
    <cacheHierarchy uniqueName="[TATA].[DATE (Month Index)]" caption="DATE (Month Index)" attribute="1" defaultMemberUniqueName="[TATA].[DATE (Month Index)].[All]" allUniqueName="[TATA].[DATE (Month Index)].[All]" dimensionUniqueName="[TATA]" displayFolder="" count="0" memberValueDatatype="20" unbalanced="0" hidden="1"/>
    <cacheHierarchy uniqueName="[Measures].[__XL_Count Table1]" caption="__XL_Count Table1" measure="1" displayFolder="" measureGroup="TATA" count="0" hidden="1"/>
    <cacheHierarchy uniqueName="[Measures].[__No measures defined]" caption="__No measures defined" measure="1" displayFolder="" count="0" hidden="1"/>
    <cacheHierarchy uniqueName="[Measures].[Sum of 52W H]" caption="Sum of 52W H" measure="1" displayFolder="" measureGroup="TATA" count="0" hidden="1">
      <extLst>
        <ext xmlns:x15="http://schemas.microsoft.com/office/spreadsheetml/2010/11/main" uri="{B97F6D7D-B522-45F9-BDA1-12C45D357490}">
          <x15:cacheHierarchy aggregatedColumn="13"/>
        </ext>
      </extLst>
    </cacheHierarchy>
    <cacheHierarchy uniqueName="[Measures].[Average of 52W H]" caption="Average of 52W H" measure="1" displayFolder="" measureGroup="TATA" count="0" hidden="1">
      <extLst>
        <ext xmlns:x15="http://schemas.microsoft.com/office/spreadsheetml/2010/11/main" uri="{B97F6D7D-B522-45F9-BDA1-12C45D357490}">
          <x15:cacheHierarchy aggregatedColumn="13"/>
        </ext>
      </extLst>
    </cacheHierarchy>
    <cacheHierarchy uniqueName="[Measures].[Sum of 52W L]" caption="Sum of 52W L" measure="1" displayFolder="" measureGroup="TATA" count="0" hidden="1">
      <extLst>
        <ext xmlns:x15="http://schemas.microsoft.com/office/spreadsheetml/2010/11/main" uri="{B97F6D7D-B522-45F9-BDA1-12C45D357490}">
          <x15:cacheHierarchy aggregatedColumn="14"/>
        </ext>
      </extLst>
    </cacheHierarchy>
    <cacheHierarchy uniqueName="[Measures].[Average of 52W L]" caption="Average of 52W L" measure="1" displayFolder="" measureGroup="TATA" count="0" hidden="1">
      <extLst>
        <ext xmlns:x15="http://schemas.microsoft.com/office/spreadsheetml/2010/11/main" uri="{B97F6D7D-B522-45F9-BDA1-12C45D357490}">
          <x15:cacheHierarchy aggregatedColumn="14"/>
        </ext>
      </extLst>
    </cacheHierarchy>
    <cacheHierarchy uniqueName="[Measures].[Sum of OPEN]" caption="Sum of OPEN" measure="1" displayFolder="" measureGroup="TATA" count="0" hidden="1">
      <extLst>
        <ext xmlns:x15="http://schemas.microsoft.com/office/spreadsheetml/2010/11/main" uri="{B97F6D7D-B522-45F9-BDA1-12C45D357490}">
          <x15:cacheHierarchy aggregatedColumn="6"/>
        </ext>
      </extLst>
    </cacheHierarchy>
    <cacheHierarchy uniqueName="[Measures].[Sum of CLOSE]" caption="Sum of CLOSE" measure="1" displayFolder="" measureGroup="TATA" count="0" hidden="1">
      <extLst>
        <ext xmlns:x15="http://schemas.microsoft.com/office/spreadsheetml/2010/11/main" uri="{B97F6D7D-B522-45F9-BDA1-12C45D357490}">
          <x15:cacheHierarchy aggregatedColumn="11"/>
        </ext>
      </extLst>
    </cacheHierarchy>
    <cacheHierarchy uniqueName="[Measures].[Sum of VOLUME]" caption="Sum of VOLUME" measure="1" displayFolder="" measureGroup="TATA" count="0" hidden="1">
      <extLst>
        <ext xmlns:x15="http://schemas.microsoft.com/office/spreadsheetml/2010/11/main" uri="{B97F6D7D-B522-45F9-BDA1-12C45D357490}">
          <x15:cacheHierarchy aggregatedColumn="15"/>
        </ext>
      </extLst>
    </cacheHierarchy>
    <cacheHierarchy uniqueName="[Measures].[Count of Quarter]" caption="Count of Quarter" measure="1" displayFolder="" measureGroup="TATA" count="0" hidden="1">
      <extLst>
        <ext xmlns:x15="http://schemas.microsoft.com/office/spreadsheetml/2010/11/main" uri="{B97F6D7D-B522-45F9-BDA1-12C45D357490}">
          <x15:cacheHierarchy aggregatedColumn="3"/>
        </ext>
      </extLst>
    </cacheHierarchy>
    <cacheHierarchy uniqueName="[Measures].[Max of 52W H]" caption="Max of 52W H" measure="1" displayFolder="" measureGroup="TATA" count="0" hidden="1">
      <extLst>
        <ext xmlns:x15="http://schemas.microsoft.com/office/spreadsheetml/2010/11/main" uri="{B97F6D7D-B522-45F9-BDA1-12C45D357490}">
          <x15:cacheHierarchy aggregatedColumn="13"/>
        </ext>
      </extLst>
    </cacheHierarchy>
    <cacheHierarchy uniqueName="[Measures].[Max of 52W L]" caption="Max of 52W L" measure="1" displayFolder="" measureGroup="TATA" count="0" hidden="1">
      <extLst>
        <ext xmlns:x15="http://schemas.microsoft.com/office/spreadsheetml/2010/11/main" uri="{B97F6D7D-B522-45F9-BDA1-12C45D357490}">
          <x15:cacheHierarchy aggregatedColumn="14"/>
        </ext>
      </extLst>
    </cacheHierarchy>
    <cacheHierarchy uniqueName="[Measures].[Min of 52W L]" caption="Min of 52W L" measure="1" displayFolder="" measureGroup="TATA" count="0" hidden="1">
      <extLst>
        <ext xmlns:x15="http://schemas.microsoft.com/office/spreadsheetml/2010/11/main" uri="{B97F6D7D-B522-45F9-BDA1-12C45D357490}">
          <x15:cacheHierarchy aggregatedColumn="14"/>
        </ext>
      </extLst>
    </cacheHierarchy>
    <cacheHierarchy uniqueName="[Measures].[Sum of Daily Range]" caption="Sum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Daily Range]" caption="Average of Daily Range" measure="1" displayFolder="" measureGroup="TATA" count="0" hidden="1">
      <extLst>
        <ext xmlns:x15="http://schemas.microsoft.com/office/spreadsheetml/2010/11/main" uri="{B97F6D7D-B522-45F9-BDA1-12C45D357490}">
          <x15:cacheHierarchy aggregatedColumn="20"/>
        </ext>
      </extLst>
    </cacheHierarchy>
    <cacheHierarchy uniqueName="[Measures].[Average of OPEN]" caption="Average of OPEN" measure="1" displayFolder="" measureGroup="T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T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674389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C8B4C0-EBB5-4636-9F55-26C932BC82EE}" name="PivotTable4" cacheId="8" applyNumberFormats="0" applyBorderFormats="0" applyFontFormats="0" applyPatternFormats="0" applyAlignmentFormats="0" applyWidthHeightFormats="1" dataCaption="Values" tag="b3741a48-9171-4947-9110-bc8925c049b6"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ax of CLOSE" fld="0" subtotal="max" baseField="0" baseItem="0" numFmtId="4"/>
  </dataFields>
  <formats count="1">
    <format dxfId="0">
      <pivotArea outline="0" collapsedLevelsAreSubtotals="1" fieldPosition="0"/>
    </format>
  </formats>
  <pivotHierarchies count="49">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LOSE"/>
    <pivotHierarchy dragToData="1"/>
    <pivotHierarchy dragToData="1"/>
    <pivotHierarchy dragToData="1"/>
    <pivotHierarchy dragToData="1"/>
    <pivotHierarchy dragToData="1"/>
    <pivotHierarchy dragToData="1"/>
    <pivotHierarchy dragToData="1"/>
    <pivotHierarchy dragToData="1"/>
    <pivotHierarchy dragToData="1" caption="Highest of CLOSE"/>
    <pivotHierarchy dragToData="1"/>
    <pivotHierarchy dragToData="1"/>
    <pivotHierarchy dragToData="1"/>
    <pivotHierarchy dragToData="1"/>
    <pivotHierarchy dragToData="1"/>
    <pivotHierarchy dragToData="1"/>
    <pivotHierarchy dragToData="1"/>
    <pivotHierarchy dragToData="1"/>
    <pivotHierarchy dragToData="1" caption="Max of CLOS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40FCFA-44D3-42FD-B977-E947E7D03DBD}" name="PivotTable5" cacheId="9" applyNumberFormats="0" applyBorderFormats="0" applyFontFormats="0" applyPatternFormats="0" applyAlignmentFormats="0" applyWidthHeightFormats="1" dataCaption="Values" tag="3edc3d0f-9065-4e61-a7d7-e7e787ff6a0c"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VOLUME" fld="0" subtotal="average" baseField="0" baseItem="0" numFmtId="4"/>
  </dataFields>
  <formats count="1">
    <format dxfId="1">
      <pivotArea outline="0" collapsedLevelsAreSubtotals="1" fieldPosition="0"/>
    </format>
  </formats>
  <pivotHierarchies count="49">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352570-8D7E-4AD9-B8BF-4D14E173959A}"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H66:J7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Average of OPEN" fld="1" subtotal="average" baseField="0" baseItem="0"/>
    <dataField name="Average of CLOSE" fld="2"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Hierarchies count="49">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Max of 52W H"/>
    <pivotHierarchy dragToData="1"/>
    <pivotHierarchy dragToData="1" caption="Min of 52W L"/>
    <pivotHierarchy dragToData="1"/>
    <pivotHierarchy dragToData="1"/>
    <pivotHierarchy dragToData="1" caption="Average of OPEN"/>
    <pivotHierarchy dragToData="1" caption="Average of CLOSE"/>
    <pivotHierarchy dragToData="1"/>
    <pivotHierarchy dragToData="1"/>
    <pivotHierarchy dragToData="1"/>
    <pivotHierarchy dragToData="1"/>
    <pivotHierarchy dragToData="1"/>
    <pivotHierarchy dragToData="1"/>
    <pivotHierarchy dragToData="1" caption="Max of LTP"/>
    <pivotHierarchy dragToData="1" caption="Average of LTP"/>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8EE5F9-376F-400F-9903-A9EAFAE5E561}" name="PivotTable3" cacheId="7" applyNumberFormats="0" applyBorderFormats="0" applyFontFormats="0" applyPatternFormats="0" applyAlignmentFormats="0" applyWidthHeightFormats="1" dataCaption="Values" tag="4dd26876-44fe-466e-87b2-a75dfff9ee36"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PEN" fld="0" subtotal="average" baseField="0" baseItem="0" numFmtId="4"/>
  </dataFields>
  <formats count="1">
    <format dxfId="2">
      <pivotArea outline="0" collapsedLevelsAreSubtotals="1" fieldPosition="0"/>
    </format>
  </formats>
  <pivotHierarchies count="4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PE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6FED95-9EC8-4C76-931B-60D6B875137D}" name="PivotTable1" cacheId="4" applyNumberFormats="0" applyBorderFormats="0" applyFontFormats="0" applyPatternFormats="0" applyAlignmentFormats="0" applyWidthHeightFormats="1" dataCaption="Values" tag="25cfb0f3-d986-47c4-ad2c-f1351687602c"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ax of 52W H" fld="0" subtotal="max" baseField="0" baseItem="0" numFmtId="4"/>
  </dataFields>
  <formats count="1">
    <format dxfId="3">
      <pivotArea outline="0" collapsedLevelsAreSubtotals="1" fieldPosition="0"/>
    </format>
  </formats>
  <pivotHierarchies count="49">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Max of 52W 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8B97AD-CF83-4B3D-9317-FFBFA0A9FFA2}" name="PivotTable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40:C53"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Average of OPEN" fld="1" subtotal="average" baseField="0" baseItem="0"/>
    <dataField name="Average of CLOSE" fld="0"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8" series="1">
      <pivotArea type="data" outline="0" fieldPosition="0">
        <references count="1">
          <reference field="4294967294" count="1" selected="0">
            <x v="0"/>
          </reference>
        </references>
      </pivotArea>
    </chartFormat>
    <chartFormat chart="3" format="29" series="1">
      <pivotArea type="data" outline="0" fieldPosition="0">
        <references count="1">
          <reference field="4294967294" count="1" selected="0">
            <x v="1"/>
          </reference>
        </references>
      </pivotArea>
    </chartFormat>
  </chartFormats>
  <pivotHierarchies count="49">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PEN"/>
    <pivotHierarchy dragToData="1" caption="Average of CLOS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186801-9E1C-4304-B16A-6E83C42FDC9A}" name="PivotTable8" cacheId="2" applyNumberFormats="0" applyBorderFormats="0" applyFontFormats="0" applyPatternFormats="0" applyAlignmentFormats="0" applyWidthHeightFormats="1" dataCaption="Values" tag="113f7d87-9ea0-4e9b-bccb-6de21094d596" updatedVersion="8" minRefreshableVersion="3" useAutoFormatting="1" subtotalHiddenItems="1" itemPrintTitles="1" createdVersion="8" indent="0" outline="1" outlineData="1" multipleFieldFilters="0" chartFormat="82">
  <location ref="E10:G23"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VOLUME" fld="1" baseField="0" baseItem="0"/>
    <dataField name="Average of Daily Range" fld="2" subtotal="average" baseField="0" baseItem="0"/>
  </dataFields>
  <chartFormats count="8">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47" format="12"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1"/>
          </reference>
        </references>
      </pivotArea>
    </chartFormat>
    <chartFormat chart="80" format="10" series="1">
      <pivotArea type="data" outline="0" fieldPosition="0">
        <references count="1">
          <reference field="4294967294" count="1" selected="0">
            <x v="0"/>
          </reference>
        </references>
      </pivotArea>
    </chartFormat>
    <chartFormat chart="80" format="11" series="1">
      <pivotArea type="data" outline="0" fieldPosition="0">
        <references count="1">
          <reference field="4294967294" count="1" selected="0">
            <x v="1"/>
          </reference>
        </references>
      </pivotArea>
    </chartFormat>
    <chartFormat chart="81" format="12" series="1">
      <pivotArea type="data" outline="0" fieldPosition="0">
        <references count="1">
          <reference field="4294967294" count="1" selected="0">
            <x v="0"/>
          </reference>
        </references>
      </pivotArea>
    </chartFormat>
    <chartFormat chart="81" format="13" series="1">
      <pivotArea type="data" outline="0" fieldPosition="0">
        <references count="1">
          <reference field="4294967294" count="1" selected="0">
            <x v="1"/>
          </reference>
        </references>
      </pivotArea>
    </chartFormat>
  </chartFormats>
  <pivotHierarchies count="49">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Sum of 52W L"/>
    <pivotHierarchy dragToData="1"/>
    <pivotHierarchy dragToData="1"/>
    <pivotHierarchy dragToData="1"/>
    <pivotHierarchy dragToData="1"/>
    <pivotHierarchy dragToData="1"/>
    <pivotHierarchy dragToData="1" caption="Max of 52W H"/>
    <pivotHierarchy dragToData="1"/>
    <pivotHierarchy dragToData="1" caption="Min of 52W L"/>
    <pivotHierarchy dragToData="1"/>
    <pivotHierarchy dragToData="1" caption="Average of Daily Ran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0237B7-B62B-48DD-85CF-3DBEA62E893F}" name="PivotTable2" cacheId="6" applyNumberFormats="0" applyBorderFormats="0" applyFontFormats="0" applyPatternFormats="0" applyAlignmentFormats="0" applyWidthHeightFormats="1" dataCaption="Values" tag="c1f432d3-a50c-4b63-a2dc-3f44a9315efb"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in of 52W L" fld="0" subtotal="min" baseField="0" baseItem="0" numFmtId="4"/>
  </dataFields>
  <formats count="1">
    <format dxfId="4">
      <pivotArea outline="0" collapsedLevelsAreSubtotals="1" fieldPosition="0"/>
    </format>
  </formats>
  <pivotHierarchies count="49">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Min of 52W 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BA6929-F395-42DC-BE22-E3755CB7CB9B}"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X14:Y27"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7"/>
    </i>
    <i>
      <x v="11"/>
    </i>
    <i>
      <x v="5"/>
    </i>
    <i>
      <x v="9"/>
    </i>
    <i>
      <x v="8"/>
    </i>
    <i>
      <x v="4"/>
    </i>
    <i>
      <x v="6"/>
    </i>
    <i>
      <x/>
    </i>
    <i>
      <x v="1"/>
    </i>
    <i>
      <x v="2"/>
    </i>
    <i>
      <x v="10"/>
    </i>
    <i>
      <x v="3"/>
    </i>
    <i t="grand">
      <x/>
    </i>
  </rowItems>
  <colItems count="1">
    <i/>
  </colItems>
  <dataFields count="1">
    <dataField name="Sum of VOLUME" fld="1"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s>
  <pivotHierarchies count="49">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5D0672-B0FD-4152-B516-15537924ABC0}" name="PivotTable7" cacheId="3" applyNumberFormats="0" applyBorderFormats="0" applyFontFormats="0" applyPatternFormats="0" applyAlignmentFormats="0" applyWidthHeightFormats="1" dataCaption="Values" tag="184cfc77-8548-4fb3-8e8b-7dce3973136b" updatedVersion="8" minRefreshableVersion="3" useAutoFormatting="1" itemPrintTitles="1" createdVersion="8" indent="0" outline="1" outlineData="1" multipleFieldFilters="0" chartFormat="18">
  <location ref="D3:F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Max of 52W H" fld="1" subtotal="max" baseField="0" baseItem="0"/>
    <dataField name="Min of 52W L" fld="2" subtotal="min" baseField="0" baseItem="0"/>
  </dataFields>
  <chartFormats count="4">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49">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Max of 52W H"/>
    <pivotHierarchy dragToData="1" caption="Max of 52W L"/>
    <pivotHierarchy dragToData="1" caption="Min of 52W 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41402077-2FE3-4E00-9F77-8D1B6AA7301C}" sourceName="[TATA].[Day]">
  <pivotTables>
    <pivotTable tabId="2" name="PivotTable9"/>
    <pivotTable tabId="2" name="PivotTable11"/>
    <pivotTable tabId="2" name="PivotTable8"/>
    <pivotTable tabId="2" name="PivotTable7"/>
    <pivotTable tabId="2" name="PivotTable1"/>
    <pivotTable tabId="2" name="PivotTable10"/>
    <pivotTable tabId="2" name="PivotTable2"/>
    <pivotTable tabId="2" name="PivotTable3"/>
    <pivotTable tabId="2" name="PivotTable4"/>
    <pivotTable tabId="2" name="PivotTable5"/>
  </pivotTables>
  <data>
    <olap pivotCacheId="67438976">
      <levels count="2">
        <level uniqueName="[TATA].[Day].[(All)]" sourceCaption="(All)" count="0"/>
        <level uniqueName="[TATA].[Day].[Day]" sourceCaption="Day" count="5">
          <ranges>
            <range startItem="0">
              <i n="[TATA].[Day].&amp;[Friday]" c="Friday"/>
              <i n="[TATA].[Day].&amp;[Monday]" c="Monday"/>
              <i n="[TATA].[Day].&amp;[Thursday]" c="Thursday"/>
              <i n="[TATA].[Day].&amp;[Tuesday]" c="Tuesday"/>
              <i n="[TATA].[Day].&amp;[Wednesday]" c="Wednesday"/>
            </range>
          </ranges>
        </level>
      </levels>
      <selections count="1">
        <selection n="[TATA].[Da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41C6967-FC8A-482D-88C1-5EB3CAF1491B}" sourceName="[TATA].[Month]">
  <pivotTables>
    <pivotTable tabId="2" name="PivotTable7"/>
    <pivotTable tabId="2" name="PivotTable8"/>
    <pivotTable tabId="2" name="PivotTable10"/>
    <pivotTable tabId="2" name="PivotTable9"/>
    <pivotTable tabId="2" name="PivotTable11"/>
    <pivotTable tabId="2" name="PivotTable1"/>
    <pivotTable tabId="2" name="PivotTable4"/>
    <pivotTable tabId="2" name="PivotTable5"/>
  </pivotTables>
  <data>
    <olap pivotCacheId="67438976">
      <levels count="2">
        <level uniqueName="[TATA].[Month].[(All)]" sourceCaption="(All)" count="0"/>
        <level uniqueName="[TATA].[Month].[Month]" sourceCaption="Month" count="12">
          <ranges>
            <range startItem="0">
              <i n="[TATA].[Month].&amp;[April]" c="April"/>
              <i n="[TATA].[Month].&amp;[August]" c="August"/>
              <i n="[TATA].[Month].&amp;[December]" c="December"/>
              <i n="[TATA].[Month].&amp;[February]" c="February"/>
              <i n="[TATA].[Month].&amp;[January]" c="January"/>
              <i n="[TATA].[Month].&amp;[July]" c="July"/>
              <i n="[TATA].[Month].&amp;[June]" c="June"/>
              <i n="[TATA].[Month].&amp;[March]" c="March"/>
              <i n="[TATA].[Month].&amp;[May]" c="May"/>
              <i n="[TATA].[Month].&amp;[November]" c="November"/>
              <i n="[TATA].[Month].&amp;[October]" c="October"/>
              <i n="[TATA].[Month].&amp;[September]" c="September"/>
            </range>
          </ranges>
        </level>
      </levels>
      <selections count="1">
        <selection n="[TATA].[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55652B-F7CE-4E40-AB67-BC0BAEBF2ABD}" sourceName="[TATA].[Year]">
  <pivotTables>
    <pivotTable tabId="2" name="PivotTable7"/>
    <pivotTable tabId="2" name="PivotTable1"/>
    <pivotTable tabId="2" name="PivotTable10"/>
    <pivotTable tabId="2" name="PivotTable11"/>
    <pivotTable tabId="2" name="PivotTable2"/>
    <pivotTable tabId="2" name="PivotTable3"/>
    <pivotTable tabId="2" name="PivotTable4"/>
    <pivotTable tabId="2" name="PivotTable8"/>
    <pivotTable tabId="2" name="PivotTable9"/>
  </pivotTables>
  <data>
    <olap pivotCacheId="67438976">
      <levels count="2">
        <level uniqueName="[TATA].[Year].[(All)]" sourceCaption="(All)" count="0"/>
        <level uniqueName="[TATA].[Year].[Year]" sourceCaption="Year" count="2">
          <ranges>
            <range startItem="0">
              <i n="[TATA].[Year].&amp;[2025]" c="2025"/>
              <i n="[TATA].[Year].&amp;[2026]" c="2026"/>
            </range>
          </ranges>
        </level>
      </levels>
      <selections count="1">
        <selection n="[TATA].[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087322F-B55A-4AE6-B73E-D583CDDD9CD2}" sourceName="[TATA].[Quarter]">
  <pivotTables>
    <pivotTable tabId="2" name="PivotTable7"/>
    <pivotTable tabId="2" name="PivotTable8"/>
    <pivotTable tabId="2" name="PivotTable9"/>
    <pivotTable tabId="2" name="PivotTable10"/>
    <pivotTable tabId="2" name="PivotTable11"/>
    <pivotTable tabId="2" name="PivotTable1"/>
    <pivotTable tabId="2" name="PivotTable2"/>
    <pivotTable tabId="2" name="PivotTable3"/>
    <pivotTable tabId="2" name="PivotTable4"/>
    <pivotTable tabId="2" name="PivotTable5"/>
  </pivotTables>
  <data>
    <olap pivotCacheId="67438976">
      <levels count="2">
        <level uniqueName="[TATA].[Quarter].[(All)]" sourceCaption="(All)" count="0"/>
        <level uniqueName="[TATA].[Quarter].[Quarter]" sourceCaption="Quarter" count="4">
          <ranges>
            <range startItem="0">
              <i n="[TATA].[Quarter].&amp;[Q1]" c="Q1"/>
              <i n="[TATA].[Quarter].&amp;[Q2]" c="Q2"/>
              <i n="[TATA].[Quarter].&amp;[Q3]" c="Q3"/>
              <i n="[TATA].[Quarter].&amp;[Q4]" c="Q4"/>
            </range>
          </ranges>
        </level>
      </levels>
      <selections count="1">
        <selection n="[T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58C19322-11FF-4CE8-859B-8147C45AA6A9}" cache="Slicer_Day" caption="Day" level="1" rowHeight="241300"/>
  <slicer name="Month" xr10:uid="{6E0EBC52-0D02-4E07-B9EB-FB900AB25272}" cache="Slicer_Month" caption="Month" level="1" rowHeight="241300"/>
  <slicer name="Year" xr10:uid="{604D3DC2-A4E0-4A11-B3DA-4CB5176FA098}" cache="Slicer_Year" caption="Year" columnCount="2" level="1" rowHeight="241300"/>
  <slicer name="Quarter" xr10:uid="{E86DC657-CBD6-42F5-8E5A-313DF0A23418}" cache="Slicer_Quarter" caption="Quarter" columnCount="4"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28E7E1-D5D2-419D-B643-E024C6067CB4}" name="Table1" displayName="Table1" ref="A1:R247" totalsRowShown="0">
  <autoFilter ref="A1:R247" xr:uid="{C028E7E1-D5D2-419D-B643-E024C6067CB4}"/>
  <tableColumns count="18">
    <tableColumn id="1" xr3:uid="{8B22740E-ACC9-47E1-82A4-48F29B40BCD9}" name="DATE" dataDxfId="21"/>
    <tableColumn id="2" xr3:uid="{767A2BC1-57FA-439F-A855-F66D79F29C18}" name="Day" dataDxfId="20">
      <calculatedColumnFormula>TEXT(A2,"dddd")</calculatedColumnFormula>
    </tableColumn>
    <tableColumn id="3" xr3:uid="{12FB2676-7C06-4F64-91B0-A7CBCBD8F8EC}" name="Month" dataDxfId="19">
      <calculatedColumnFormula>TEXT(A2,"mmmm")</calculatedColumnFormula>
    </tableColumn>
    <tableColumn id="4" xr3:uid="{1BA7C045-8102-4030-A558-3A1E125A73C6}" name="Quarter" dataDxfId="18">
      <calculatedColumnFormula>"Q"&amp;ROUNDUP(MONTH(A2)/3,0)</calculatedColumnFormula>
    </tableColumn>
    <tableColumn id="5" xr3:uid="{ACB20604-4E86-49D9-9A73-2FCB2EE2D6D9}" name="Year" dataDxfId="17">
      <calculatedColumnFormula>TEXT(A2,"yyyy")</calculatedColumnFormula>
    </tableColumn>
    <tableColumn id="6" xr3:uid="{A3F0609A-EB13-4494-8EC7-D4D37A52AF5F}" name="SERIES"/>
    <tableColumn id="7" xr3:uid="{AC7552B8-85ED-41BC-B573-42DBDA0E4162}" name="OPEN" dataDxfId="16"/>
    <tableColumn id="8" xr3:uid="{E20391CE-B003-4A57-A04D-14C2B6825F12}" name="HIGH" dataDxfId="15"/>
    <tableColumn id="9" xr3:uid="{B71ABA23-109F-4843-BBF8-82F325E5E735}" name="LOW" dataDxfId="14"/>
    <tableColumn id="10" xr3:uid="{C23B8702-FE39-4962-9208-2867AF5E1084}" name="PREV. CLOSE" dataDxfId="13"/>
    <tableColumn id="11" xr3:uid="{ED4EECFE-71EE-454F-BD8B-E4FF0A54747B}" name="LTP" dataDxfId="12"/>
    <tableColumn id="12" xr3:uid="{AFF6DE0D-C542-482E-9C9C-0795ADDB5F36}" name="CLOSE" dataDxfId="11"/>
    <tableColumn id="13" xr3:uid="{767C8E3C-D574-4140-999A-2BC484AF31DE}" name="VWAP" dataDxfId="10"/>
    <tableColumn id="14" xr3:uid="{37D95E95-5163-4914-9F18-08C2F7E73FD2}" name="52W H" dataDxfId="9"/>
    <tableColumn id="15" xr3:uid="{301E65ED-2CAF-4C37-911A-4305F377284A}" name="52W L" dataDxfId="8"/>
    <tableColumn id="16" xr3:uid="{80F4B350-5D36-49B0-A055-FBF105A1FF4B}" name="VOLUME" dataDxfId="7"/>
    <tableColumn id="17" xr3:uid="{3E714DDD-28D1-4D3C-BC0B-D4D8306ABBB8}" name="NO. OF  TRADES" dataDxfId="6"/>
    <tableColumn id="18" xr3:uid="{A15D0FA4-A75A-497A-926D-F05235497AA8}" name="Daily Range" dataDxfId="5">
      <calculatedColumnFormula>Table1[[#This Row],[HIGH]]-Table1[[#This Row],[LOW]]</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1355-21A9-4D56-AEDB-8FC9E2D7725C}">
  <dimension ref="A1:R247"/>
  <sheetViews>
    <sheetView zoomScale="82" workbookViewId="0">
      <pane ySplit="1" topLeftCell="A2" activePane="bottomLeft" state="frozen"/>
      <selection pane="bottomLeft" activeCell="Q2" sqref="Q2"/>
    </sheetView>
  </sheetViews>
  <sheetFormatPr defaultColWidth="19.7265625" defaultRowHeight="14.5" x14ac:dyDescent="0.35"/>
  <sheetData>
    <row r="1" spans="1:18" x14ac:dyDescent="0.35">
      <c r="A1" t="s">
        <v>0</v>
      </c>
      <c r="B1" t="s">
        <v>14</v>
      </c>
      <c r="C1" t="s">
        <v>15</v>
      </c>
      <c r="D1" t="s">
        <v>17</v>
      </c>
      <c r="E1" t="s">
        <v>16</v>
      </c>
      <c r="F1" t="s">
        <v>1</v>
      </c>
      <c r="G1" t="s">
        <v>2</v>
      </c>
      <c r="H1" t="s">
        <v>3</v>
      </c>
      <c r="I1" t="s">
        <v>4</v>
      </c>
      <c r="J1" t="s">
        <v>5</v>
      </c>
      <c r="K1" t="s">
        <v>6</v>
      </c>
      <c r="L1" t="s">
        <v>7</v>
      </c>
      <c r="M1" t="s">
        <v>8</v>
      </c>
      <c r="N1" t="s">
        <v>9</v>
      </c>
      <c r="O1" t="s">
        <v>10</v>
      </c>
      <c r="P1" t="s">
        <v>11</v>
      </c>
      <c r="Q1" t="s">
        <v>12</v>
      </c>
      <c r="R1" t="s">
        <v>50</v>
      </c>
    </row>
    <row r="2" spans="1:18" x14ac:dyDescent="0.35">
      <c r="A2" s="1">
        <v>46045</v>
      </c>
      <c r="B2" s="1" t="str">
        <f>TEXT(A2,"dddd")</f>
        <v>Friday</v>
      </c>
      <c r="C2" s="1" t="str">
        <f>TEXT(A2,"mmmm")</f>
        <v>January</v>
      </c>
      <c r="D2" s="1" t="str">
        <f>"Q"&amp;ROUNDUP(MONTH(A2)/3,0)</f>
        <v>Q1</v>
      </c>
      <c r="E2" s="1" t="str">
        <f>TEXT(A2,"yyyy")</f>
        <v>2026</v>
      </c>
      <c r="F2" t="s">
        <v>13</v>
      </c>
      <c r="G2" s="2">
        <v>1178.5</v>
      </c>
      <c r="H2" s="2">
        <v>1187.8</v>
      </c>
      <c r="I2" s="2">
        <v>1149.7</v>
      </c>
      <c r="J2" s="2">
        <v>1175.2</v>
      </c>
      <c r="K2" s="2">
        <v>1155</v>
      </c>
      <c r="L2" s="2">
        <v>1153.5</v>
      </c>
      <c r="M2" s="2">
        <v>1167.1500000000001</v>
      </c>
      <c r="N2" s="2">
        <v>1220.9000000000001</v>
      </c>
      <c r="O2" s="2">
        <v>930.1</v>
      </c>
      <c r="P2" s="2">
        <v>1456971</v>
      </c>
      <c r="Q2" s="2">
        <v>48620</v>
      </c>
      <c r="R2" s="2">
        <f>Table1[[#This Row],[HIGH]]-Table1[[#This Row],[LOW]]</f>
        <v>38.099999999999909</v>
      </c>
    </row>
    <row r="3" spans="1:18" x14ac:dyDescent="0.35">
      <c r="A3" s="1">
        <v>46044</v>
      </c>
      <c r="B3" s="1" t="str">
        <f t="shared" ref="B3:B66" si="0">TEXT(A3,"dddd")</f>
        <v>Thursday</v>
      </c>
      <c r="C3" s="1" t="str">
        <f t="shared" ref="C3:C66" si="1">TEXT(A3,"mmmm")</f>
        <v>January</v>
      </c>
      <c r="D3" s="1" t="str">
        <f t="shared" ref="D3:D66" si="2">"Q"&amp;ROUNDUP(MONTH(A3)/3,0)</f>
        <v>Q1</v>
      </c>
      <c r="E3" s="1" t="str">
        <f t="shared" ref="E3:E66" si="3">TEXT(A3,"yyyy")</f>
        <v>2026</v>
      </c>
      <c r="F3" t="s">
        <v>13</v>
      </c>
      <c r="G3" s="2">
        <v>1165.4000000000001</v>
      </c>
      <c r="H3" s="2">
        <v>1188.5</v>
      </c>
      <c r="I3" s="2">
        <v>1163.7</v>
      </c>
      <c r="J3" s="2">
        <v>1163.5999999999999</v>
      </c>
      <c r="K3" s="2">
        <v>1175</v>
      </c>
      <c r="L3" s="2">
        <v>1175.2</v>
      </c>
      <c r="M3" s="2">
        <v>1176.51</v>
      </c>
      <c r="N3" s="2">
        <v>1220.9000000000001</v>
      </c>
      <c r="O3" s="2">
        <v>930.1</v>
      </c>
      <c r="P3" s="2">
        <v>1495139</v>
      </c>
      <c r="Q3" s="2">
        <v>43747</v>
      </c>
      <c r="R3" s="2">
        <f>Table1[[#This Row],[HIGH]]-Table1[[#This Row],[LOW]]</f>
        <v>24.799999999999955</v>
      </c>
    </row>
    <row r="4" spans="1:18" x14ac:dyDescent="0.35">
      <c r="A4" s="1">
        <v>46043</v>
      </c>
      <c r="B4" s="1" t="str">
        <f t="shared" si="0"/>
        <v>Wednesday</v>
      </c>
      <c r="C4" s="1" t="str">
        <f t="shared" si="1"/>
        <v>January</v>
      </c>
      <c r="D4" s="1" t="str">
        <f t="shared" si="2"/>
        <v>Q1</v>
      </c>
      <c r="E4" s="1" t="str">
        <f t="shared" si="3"/>
        <v>2026</v>
      </c>
      <c r="F4" t="s">
        <v>13</v>
      </c>
      <c r="G4" s="2">
        <v>1180.5</v>
      </c>
      <c r="H4" s="2">
        <v>1197.5</v>
      </c>
      <c r="I4" s="2">
        <v>1158.7</v>
      </c>
      <c r="J4" s="2">
        <v>1185</v>
      </c>
      <c r="K4" s="2">
        <v>1165</v>
      </c>
      <c r="L4" s="2">
        <v>1163.5999999999999</v>
      </c>
      <c r="M4" s="2">
        <v>1174.23</v>
      </c>
      <c r="N4" s="2">
        <v>1220.9000000000001</v>
      </c>
      <c r="O4" s="2">
        <v>930.1</v>
      </c>
      <c r="P4" s="2">
        <v>946906</v>
      </c>
      <c r="Q4" s="2">
        <v>52276</v>
      </c>
      <c r="R4" s="2">
        <f>Table1[[#This Row],[HIGH]]-Table1[[#This Row],[LOW]]</f>
        <v>38.799999999999955</v>
      </c>
    </row>
    <row r="5" spans="1:18" x14ac:dyDescent="0.35">
      <c r="A5" s="1">
        <v>46042</v>
      </c>
      <c r="B5" s="1" t="str">
        <f t="shared" si="0"/>
        <v>Tuesday</v>
      </c>
      <c r="C5" s="1" t="str">
        <f t="shared" si="1"/>
        <v>January</v>
      </c>
      <c r="D5" s="1" t="str">
        <f t="shared" si="2"/>
        <v>Q1</v>
      </c>
      <c r="E5" s="1" t="str">
        <f t="shared" si="3"/>
        <v>2026</v>
      </c>
      <c r="F5" t="s">
        <v>13</v>
      </c>
      <c r="G5" s="2">
        <v>1180</v>
      </c>
      <c r="H5" s="2">
        <v>1203.9000000000001</v>
      </c>
      <c r="I5" s="2">
        <v>1176.3</v>
      </c>
      <c r="J5" s="2">
        <v>1180.2</v>
      </c>
      <c r="K5" s="2">
        <v>1183.5</v>
      </c>
      <c r="L5" s="2">
        <v>1185</v>
      </c>
      <c r="M5" s="2">
        <v>1192.7</v>
      </c>
      <c r="N5" s="2">
        <v>1220.9000000000001</v>
      </c>
      <c r="O5" s="2">
        <v>930.1</v>
      </c>
      <c r="P5" s="2">
        <v>2027446</v>
      </c>
      <c r="Q5" s="2">
        <v>49919</v>
      </c>
      <c r="R5" s="2">
        <f>Table1[[#This Row],[HIGH]]-Table1[[#This Row],[LOW]]</f>
        <v>27.600000000000136</v>
      </c>
    </row>
    <row r="6" spans="1:18" x14ac:dyDescent="0.35">
      <c r="A6" s="1">
        <v>46041</v>
      </c>
      <c r="B6" s="1" t="str">
        <f t="shared" si="0"/>
        <v>Monday</v>
      </c>
      <c r="C6" s="1" t="str">
        <f t="shared" si="1"/>
        <v>January</v>
      </c>
      <c r="D6" s="1" t="str">
        <f t="shared" si="2"/>
        <v>Q1</v>
      </c>
      <c r="E6" s="1" t="str">
        <f t="shared" si="3"/>
        <v>2026</v>
      </c>
      <c r="F6" t="s">
        <v>13</v>
      </c>
      <c r="G6" s="2">
        <v>1180.2</v>
      </c>
      <c r="H6" s="2">
        <v>1188.5999999999999</v>
      </c>
      <c r="I6" s="2">
        <v>1174</v>
      </c>
      <c r="J6" s="2">
        <v>1189.0999999999999</v>
      </c>
      <c r="K6" s="2">
        <v>1176</v>
      </c>
      <c r="L6" s="2">
        <v>1180.2</v>
      </c>
      <c r="M6" s="2">
        <v>1183.02</v>
      </c>
      <c r="N6" s="2">
        <v>1220.9000000000001</v>
      </c>
      <c r="O6" s="2">
        <v>930.1</v>
      </c>
      <c r="P6" s="2">
        <v>547580</v>
      </c>
      <c r="Q6" s="2">
        <v>26211</v>
      </c>
      <c r="R6" s="2">
        <f>Table1[[#This Row],[HIGH]]-Table1[[#This Row],[LOW]]</f>
        <v>14.599999999999909</v>
      </c>
    </row>
    <row r="7" spans="1:18" x14ac:dyDescent="0.35">
      <c r="A7" s="1">
        <v>46038</v>
      </c>
      <c r="B7" s="1" t="str">
        <f t="shared" si="0"/>
        <v>Friday</v>
      </c>
      <c r="C7" s="1" t="str">
        <f t="shared" si="1"/>
        <v>January</v>
      </c>
      <c r="D7" s="1" t="str">
        <f t="shared" si="2"/>
        <v>Q1</v>
      </c>
      <c r="E7" s="1" t="str">
        <f t="shared" si="3"/>
        <v>2026</v>
      </c>
      <c r="F7" t="s">
        <v>13</v>
      </c>
      <c r="G7" s="2">
        <v>1171.3</v>
      </c>
      <c r="H7" s="2">
        <v>1199.7</v>
      </c>
      <c r="I7" s="2">
        <v>1166.3</v>
      </c>
      <c r="J7" s="2">
        <v>1171.4000000000001</v>
      </c>
      <c r="K7" s="2">
        <v>1188</v>
      </c>
      <c r="L7" s="2">
        <v>1189.0999999999999</v>
      </c>
      <c r="M7" s="2">
        <v>1189.9000000000001</v>
      </c>
      <c r="N7" s="2">
        <v>1220.9000000000001</v>
      </c>
      <c r="O7" s="2">
        <v>926.05</v>
      </c>
      <c r="P7" s="2">
        <v>1250225</v>
      </c>
      <c r="Q7" s="2">
        <v>39783</v>
      </c>
      <c r="R7" s="2">
        <f>Table1[[#This Row],[HIGH]]-Table1[[#This Row],[LOW]]</f>
        <v>33.400000000000091</v>
      </c>
    </row>
    <row r="8" spans="1:18" x14ac:dyDescent="0.35">
      <c r="A8" s="1">
        <v>46036</v>
      </c>
      <c r="B8" s="1" t="str">
        <f t="shared" si="0"/>
        <v>Wednesday</v>
      </c>
      <c r="C8" s="1" t="str">
        <f t="shared" si="1"/>
        <v>January</v>
      </c>
      <c r="D8" s="1" t="str">
        <f t="shared" si="2"/>
        <v>Q1</v>
      </c>
      <c r="E8" s="1" t="str">
        <f t="shared" si="3"/>
        <v>2026</v>
      </c>
      <c r="F8" t="s">
        <v>13</v>
      </c>
      <c r="G8" s="2">
        <v>1189.4000000000001</v>
      </c>
      <c r="H8" s="2">
        <v>1191</v>
      </c>
      <c r="I8" s="2">
        <v>1168.5999999999999</v>
      </c>
      <c r="J8" s="2">
        <v>1189.4000000000001</v>
      </c>
      <c r="K8" s="2">
        <v>1169</v>
      </c>
      <c r="L8" s="2">
        <v>1171.4000000000001</v>
      </c>
      <c r="M8" s="2">
        <v>1174.5999999999999</v>
      </c>
      <c r="N8" s="2">
        <v>1220.9000000000001</v>
      </c>
      <c r="O8" s="2">
        <v>926.05</v>
      </c>
      <c r="P8" s="2">
        <v>577684</v>
      </c>
      <c r="Q8" s="2">
        <v>35722</v>
      </c>
      <c r="R8" s="2">
        <f>Table1[[#This Row],[HIGH]]-Table1[[#This Row],[LOW]]</f>
        <v>22.400000000000091</v>
      </c>
    </row>
    <row r="9" spans="1:18" x14ac:dyDescent="0.35">
      <c r="A9" s="1">
        <v>46035</v>
      </c>
      <c r="B9" s="1" t="str">
        <f t="shared" si="0"/>
        <v>Tuesday</v>
      </c>
      <c r="C9" s="1" t="str">
        <f t="shared" si="1"/>
        <v>January</v>
      </c>
      <c r="D9" s="1" t="str">
        <f t="shared" si="2"/>
        <v>Q1</v>
      </c>
      <c r="E9" s="1" t="str">
        <f t="shared" si="3"/>
        <v>2026</v>
      </c>
      <c r="F9" t="s">
        <v>13</v>
      </c>
      <c r="G9" s="2">
        <v>1190</v>
      </c>
      <c r="H9" s="2">
        <v>1198.3</v>
      </c>
      <c r="I9" s="2">
        <v>1181.3</v>
      </c>
      <c r="J9" s="2">
        <v>1192.3</v>
      </c>
      <c r="K9" s="2">
        <v>1188.8</v>
      </c>
      <c r="L9" s="2">
        <v>1189.4000000000001</v>
      </c>
      <c r="M9" s="2">
        <v>1190.79</v>
      </c>
      <c r="N9" s="2">
        <v>1220.9000000000001</v>
      </c>
      <c r="O9" s="2">
        <v>926.05</v>
      </c>
      <c r="P9" s="2">
        <v>598454</v>
      </c>
      <c r="Q9" s="2">
        <v>25663</v>
      </c>
      <c r="R9" s="2">
        <f>Table1[[#This Row],[HIGH]]-Table1[[#This Row],[LOW]]</f>
        <v>17</v>
      </c>
    </row>
    <row r="10" spans="1:18" x14ac:dyDescent="0.35">
      <c r="A10" s="1">
        <v>46034</v>
      </c>
      <c r="B10" s="1" t="str">
        <f t="shared" si="0"/>
        <v>Monday</v>
      </c>
      <c r="C10" s="1" t="str">
        <f t="shared" si="1"/>
        <v>January</v>
      </c>
      <c r="D10" s="1" t="str">
        <f t="shared" si="2"/>
        <v>Q1</v>
      </c>
      <c r="E10" s="1" t="str">
        <f t="shared" si="3"/>
        <v>2026</v>
      </c>
      <c r="F10" t="s">
        <v>13</v>
      </c>
      <c r="G10" s="2">
        <v>1173.5</v>
      </c>
      <c r="H10" s="2">
        <v>1196.7</v>
      </c>
      <c r="I10" s="2">
        <v>1173.5</v>
      </c>
      <c r="J10" s="2">
        <v>1175.9000000000001</v>
      </c>
      <c r="K10" s="2">
        <v>1190.2</v>
      </c>
      <c r="L10" s="2">
        <v>1192.3</v>
      </c>
      <c r="M10" s="2">
        <v>1187</v>
      </c>
      <c r="N10" s="2">
        <v>1220.9000000000001</v>
      </c>
      <c r="O10" s="2">
        <v>926.05</v>
      </c>
      <c r="P10" s="2">
        <v>663978</v>
      </c>
      <c r="Q10" s="2">
        <v>33990</v>
      </c>
      <c r="R10" s="2">
        <f>Table1[[#This Row],[HIGH]]-Table1[[#This Row],[LOW]]</f>
        <v>23.200000000000045</v>
      </c>
    </row>
    <row r="11" spans="1:18" x14ac:dyDescent="0.35">
      <c r="A11" s="1">
        <v>46031</v>
      </c>
      <c r="B11" s="1" t="str">
        <f t="shared" si="0"/>
        <v>Friday</v>
      </c>
      <c r="C11" s="1" t="str">
        <f t="shared" si="1"/>
        <v>January</v>
      </c>
      <c r="D11" s="1" t="str">
        <f t="shared" si="2"/>
        <v>Q1</v>
      </c>
      <c r="E11" s="1" t="str">
        <f t="shared" si="3"/>
        <v>2026</v>
      </c>
      <c r="F11" t="s">
        <v>13</v>
      </c>
      <c r="G11" s="2">
        <v>1197.3</v>
      </c>
      <c r="H11" s="2">
        <v>1207.8</v>
      </c>
      <c r="I11" s="2">
        <v>1173.8</v>
      </c>
      <c r="J11" s="2">
        <v>1197.4000000000001</v>
      </c>
      <c r="K11" s="2">
        <v>1178.9000000000001</v>
      </c>
      <c r="L11" s="2">
        <v>1175.9000000000001</v>
      </c>
      <c r="M11" s="2">
        <v>1187.3499999999999</v>
      </c>
      <c r="N11" s="2">
        <v>1220.9000000000001</v>
      </c>
      <c r="O11" s="2">
        <v>926.05</v>
      </c>
      <c r="P11" s="2">
        <v>555547</v>
      </c>
      <c r="Q11" s="2">
        <v>28651</v>
      </c>
      <c r="R11" s="2">
        <f>Table1[[#This Row],[HIGH]]-Table1[[#This Row],[LOW]]</f>
        <v>34</v>
      </c>
    </row>
    <row r="12" spans="1:18" x14ac:dyDescent="0.35">
      <c r="A12" s="1">
        <v>46030</v>
      </c>
      <c r="B12" s="1" t="str">
        <f t="shared" si="0"/>
        <v>Thursday</v>
      </c>
      <c r="C12" s="1" t="str">
        <f t="shared" si="1"/>
        <v>January</v>
      </c>
      <c r="D12" s="1" t="str">
        <f t="shared" si="2"/>
        <v>Q1</v>
      </c>
      <c r="E12" s="1" t="str">
        <f t="shared" si="3"/>
        <v>2026</v>
      </c>
      <c r="F12" t="s">
        <v>13</v>
      </c>
      <c r="G12" s="2">
        <v>1212</v>
      </c>
      <c r="H12" s="2">
        <v>1212</v>
      </c>
      <c r="I12" s="2">
        <v>1193</v>
      </c>
      <c r="J12" s="2">
        <v>1212.5999999999999</v>
      </c>
      <c r="K12" s="2">
        <v>1197.5</v>
      </c>
      <c r="L12" s="2">
        <v>1197.4000000000001</v>
      </c>
      <c r="M12" s="2">
        <v>1198.78</v>
      </c>
      <c r="N12" s="2">
        <v>1220.9000000000001</v>
      </c>
      <c r="O12" s="2">
        <v>926.05</v>
      </c>
      <c r="P12" s="2">
        <v>562710</v>
      </c>
      <c r="Q12" s="2">
        <v>32218</v>
      </c>
      <c r="R12" s="2">
        <f>Table1[[#This Row],[HIGH]]-Table1[[#This Row],[LOW]]</f>
        <v>19</v>
      </c>
    </row>
    <row r="13" spans="1:18" x14ac:dyDescent="0.35">
      <c r="A13" s="1">
        <v>46029</v>
      </c>
      <c r="B13" s="1" t="str">
        <f t="shared" si="0"/>
        <v>Wednesday</v>
      </c>
      <c r="C13" s="1" t="str">
        <f t="shared" si="1"/>
        <v>January</v>
      </c>
      <c r="D13" s="1" t="str">
        <f t="shared" si="2"/>
        <v>Q1</v>
      </c>
      <c r="E13" s="1" t="str">
        <f t="shared" si="3"/>
        <v>2026</v>
      </c>
      <c r="F13" t="s">
        <v>13</v>
      </c>
      <c r="G13" s="2">
        <v>1216.4000000000001</v>
      </c>
      <c r="H13" s="2">
        <v>1220.9000000000001</v>
      </c>
      <c r="I13" s="2">
        <v>1205.3</v>
      </c>
      <c r="J13" s="2">
        <v>1210.4000000000001</v>
      </c>
      <c r="K13" s="2">
        <v>1210.3</v>
      </c>
      <c r="L13" s="2">
        <v>1212.5999999999999</v>
      </c>
      <c r="M13" s="2">
        <v>1212.4100000000001</v>
      </c>
      <c r="N13" s="2">
        <v>1220.9000000000001</v>
      </c>
      <c r="O13" s="2">
        <v>926.05</v>
      </c>
      <c r="P13" s="2">
        <v>1021615</v>
      </c>
      <c r="Q13" s="2">
        <v>51596</v>
      </c>
      <c r="R13" s="2">
        <f>Table1[[#This Row],[HIGH]]-Table1[[#This Row],[LOW]]</f>
        <v>15.600000000000136</v>
      </c>
    </row>
    <row r="14" spans="1:18" x14ac:dyDescent="0.35">
      <c r="A14" s="1">
        <v>46028</v>
      </c>
      <c r="B14" s="1" t="str">
        <f t="shared" si="0"/>
        <v>Tuesday</v>
      </c>
      <c r="C14" s="1" t="str">
        <f t="shared" si="1"/>
        <v>January</v>
      </c>
      <c r="D14" s="1" t="str">
        <f t="shared" si="2"/>
        <v>Q1</v>
      </c>
      <c r="E14" s="1" t="str">
        <f t="shared" si="3"/>
        <v>2026</v>
      </c>
      <c r="F14" t="s">
        <v>13</v>
      </c>
      <c r="G14" s="2">
        <v>1182.0999999999999</v>
      </c>
      <c r="H14" s="2">
        <v>1215</v>
      </c>
      <c r="I14" s="2">
        <v>1182.0999999999999</v>
      </c>
      <c r="J14" s="2">
        <v>1182.0999999999999</v>
      </c>
      <c r="K14" s="2">
        <v>1215</v>
      </c>
      <c r="L14" s="2">
        <v>1210.4000000000001</v>
      </c>
      <c r="M14" s="2">
        <v>1201.6199999999999</v>
      </c>
      <c r="N14" s="2">
        <v>1215</v>
      </c>
      <c r="O14" s="2">
        <v>926.05</v>
      </c>
      <c r="P14" s="2">
        <v>1202300</v>
      </c>
      <c r="Q14" s="2">
        <v>49271</v>
      </c>
      <c r="R14" s="2">
        <f>Table1[[#This Row],[HIGH]]-Table1[[#This Row],[LOW]]</f>
        <v>32.900000000000091</v>
      </c>
    </row>
    <row r="15" spans="1:18" x14ac:dyDescent="0.35">
      <c r="A15" s="1">
        <v>46027</v>
      </c>
      <c r="B15" s="1" t="str">
        <f t="shared" si="0"/>
        <v>Monday</v>
      </c>
      <c r="C15" s="1" t="str">
        <f t="shared" si="1"/>
        <v>January</v>
      </c>
      <c r="D15" s="1" t="str">
        <f t="shared" si="2"/>
        <v>Q1</v>
      </c>
      <c r="E15" s="1" t="str">
        <f t="shared" si="3"/>
        <v>2026</v>
      </c>
      <c r="F15" t="s">
        <v>13</v>
      </c>
      <c r="G15" s="2">
        <v>1165</v>
      </c>
      <c r="H15" s="2">
        <v>1191</v>
      </c>
      <c r="I15" s="2">
        <v>1165</v>
      </c>
      <c r="J15" s="2">
        <v>1170.7</v>
      </c>
      <c r="K15" s="2">
        <v>1183</v>
      </c>
      <c r="L15" s="2">
        <v>1182.0999999999999</v>
      </c>
      <c r="M15" s="2">
        <v>1181.57</v>
      </c>
      <c r="N15" s="2">
        <v>1202.8</v>
      </c>
      <c r="O15" s="2">
        <v>926.05</v>
      </c>
      <c r="P15" s="2">
        <v>1521762</v>
      </c>
      <c r="Q15" s="2">
        <v>50509</v>
      </c>
      <c r="R15" s="2">
        <f>Table1[[#This Row],[HIGH]]-Table1[[#This Row],[LOW]]</f>
        <v>26</v>
      </c>
    </row>
    <row r="16" spans="1:18" x14ac:dyDescent="0.35">
      <c r="A16" s="1">
        <v>46024</v>
      </c>
      <c r="B16" s="1" t="str">
        <f t="shared" si="0"/>
        <v>Friday</v>
      </c>
      <c r="C16" s="1" t="str">
        <f t="shared" si="1"/>
        <v>January</v>
      </c>
      <c r="D16" s="1" t="str">
        <f t="shared" si="2"/>
        <v>Q1</v>
      </c>
      <c r="E16" s="1" t="str">
        <f t="shared" si="3"/>
        <v>2026</v>
      </c>
      <c r="F16" t="s">
        <v>13</v>
      </c>
      <c r="G16" s="2">
        <v>1176.9000000000001</v>
      </c>
      <c r="H16" s="2">
        <v>1185.7</v>
      </c>
      <c r="I16" s="2">
        <v>1168.4000000000001</v>
      </c>
      <c r="J16" s="2">
        <v>1176.9000000000001</v>
      </c>
      <c r="K16" s="2">
        <v>1171.8</v>
      </c>
      <c r="L16" s="2">
        <v>1170.7</v>
      </c>
      <c r="M16" s="2">
        <v>1174.24</v>
      </c>
      <c r="N16" s="2">
        <v>1202.8</v>
      </c>
      <c r="O16" s="2">
        <v>893.1</v>
      </c>
      <c r="P16" s="2">
        <v>955406</v>
      </c>
      <c r="Q16" s="2">
        <v>54782</v>
      </c>
      <c r="R16" s="2">
        <f>Table1[[#This Row],[HIGH]]-Table1[[#This Row],[LOW]]</f>
        <v>17.299999999999955</v>
      </c>
    </row>
    <row r="17" spans="1:18" x14ac:dyDescent="0.35">
      <c r="A17" s="1">
        <v>46023</v>
      </c>
      <c r="B17" s="1" t="str">
        <f t="shared" si="0"/>
        <v>Thursday</v>
      </c>
      <c r="C17" s="1" t="str">
        <f t="shared" si="1"/>
        <v>January</v>
      </c>
      <c r="D17" s="1" t="str">
        <f t="shared" si="2"/>
        <v>Q1</v>
      </c>
      <c r="E17" s="1" t="str">
        <f t="shared" si="3"/>
        <v>2026</v>
      </c>
      <c r="F17" t="s">
        <v>13</v>
      </c>
      <c r="G17" s="2">
        <v>1192</v>
      </c>
      <c r="H17" s="2">
        <v>1195.5</v>
      </c>
      <c r="I17" s="2">
        <v>1173.3</v>
      </c>
      <c r="J17" s="2">
        <v>1192</v>
      </c>
      <c r="K17" s="2">
        <v>1173.3</v>
      </c>
      <c r="L17" s="2">
        <v>1176.9000000000001</v>
      </c>
      <c r="M17" s="2">
        <v>1180.74</v>
      </c>
      <c r="N17" s="2">
        <v>1202.8</v>
      </c>
      <c r="O17" s="2">
        <v>893.1</v>
      </c>
      <c r="P17" s="2">
        <v>947192</v>
      </c>
      <c r="Q17" s="2">
        <v>27933</v>
      </c>
      <c r="R17" s="2">
        <f>Table1[[#This Row],[HIGH]]-Table1[[#This Row],[LOW]]</f>
        <v>22.200000000000045</v>
      </c>
    </row>
    <row r="18" spans="1:18" x14ac:dyDescent="0.35">
      <c r="A18" s="1">
        <v>46022</v>
      </c>
      <c r="B18" s="1" t="str">
        <f t="shared" si="0"/>
        <v>Wednesday</v>
      </c>
      <c r="C18" s="1" t="str">
        <f t="shared" si="1"/>
        <v>December</v>
      </c>
      <c r="D18" s="1" t="str">
        <f t="shared" si="2"/>
        <v>Q4</v>
      </c>
      <c r="E18" s="1" t="str">
        <f t="shared" si="3"/>
        <v>2025</v>
      </c>
      <c r="F18" t="s">
        <v>13</v>
      </c>
      <c r="G18" s="2">
        <v>1179</v>
      </c>
      <c r="H18" s="2">
        <v>1195.0999999999999</v>
      </c>
      <c r="I18" s="2">
        <v>1172.5999999999999</v>
      </c>
      <c r="J18" s="2">
        <v>1179</v>
      </c>
      <c r="K18" s="2">
        <v>1190.0999999999999</v>
      </c>
      <c r="L18" s="2">
        <v>1192</v>
      </c>
      <c r="M18" s="2">
        <v>1188.3599999999999</v>
      </c>
      <c r="N18" s="2">
        <v>1202.8</v>
      </c>
      <c r="O18" s="2">
        <v>893.1</v>
      </c>
      <c r="P18" s="2">
        <v>960678</v>
      </c>
      <c r="Q18" s="2">
        <v>30192</v>
      </c>
      <c r="R18" s="2">
        <f>Table1[[#This Row],[HIGH]]-Table1[[#This Row],[LOW]]</f>
        <v>22.5</v>
      </c>
    </row>
    <row r="19" spans="1:18" x14ac:dyDescent="0.35">
      <c r="A19" s="1">
        <v>46021</v>
      </c>
      <c r="B19" s="1" t="str">
        <f t="shared" si="0"/>
        <v>Tuesday</v>
      </c>
      <c r="C19" s="1" t="str">
        <f t="shared" si="1"/>
        <v>December</v>
      </c>
      <c r="D19" s="1" t="str">
        <f t="shared" si="2"/>
        <v>Q4</v>
      </c>
      <c r="E19" s="1" t="str">
        <f t="shared" si="3"/>
        <v>2025</v>
      </c>
      <c r="F19" t="s">
        <v>13</v>
      </c>
      <c r="G19" s="2">
        <v>1200.7</v>
      </c>
      <c r="H19" s="2">
        <v>1201.8</v>
      </c>
      <c r="I19" s="2">
        <v>1171.0999999999999</v>
      </c>
      <c r="J19" s="2">
        <v>1195.2</v>
      </c>
      <c r="K19" s="2">
        <v>1173.8</v>
      </c>
      <c r="L19" s="2">
        <v>1179</v>
      </c>
      <c r="M19" s="2">
        <v>1181.72</v>
      </c>
      <c r="N19" s="2">
        <v>1202.8</v>
      </c>
      <c r="O19" s="2">
        <v>893.1</v>
      </c>
      <c r="P19" s="2">
        <v>2256987</v>
      </c>
      <c r="Q19" s="2">
        <v>85821</v>
      </c>
      <c r="R19" s="2">
        <f>Table1[[#This Row],[HIGH]]-Table1[[#This Row],[LOW]]</f>
        <v>30.700000000000045</v>
      </c>
    </row>
    <row r="20" spans="1:18" x14ac:dyDescent="0.35">
      <c r="A20" s="1">
        <v>46020</v>
      </c>
      <c r="B20" s="1" t="str">
        <f t="shared" si="0"/>
        <v>Monday</v>
      </c>
      <c r="C20" s="1" t="str">
        <f t="shared" si="1"/>
        <v>December</v>
      </c>
      <c r="D20" s="1" t="str">
        <f t="shared" si="2"/>
        <v>Q4</v>
      </c>
      <c r="E20" s="1" t="str">
        <f t="shared" si="3"/>
        <v>2025</v>
      </c>
      <c r="F20" t="s">
        <v>13</v>
      </c>
      <c r="G20" s="2">
        <v>1174</v>
      </c>
      <c r="H20" s="2">
        <v>1200.9000000000001</v>
      </c>
      <c r="I20" s="2">
        <v>1170.5</v>
      </c>
      <c r="J20" s="2">
        <v>1175.7</v>
      </c>
      <c r="K20" s="2">
        <v>1194.4000000000001</v>
      </c>
      <c r="L20" s="2">
        <v>1195.2</v>
      </c>
      <c r="M20" s="2">
        <v>1188.23</v>
      </c>
      <c r="N20" s="2">
        <v>1202.8</v>
      </c>
      <c r="O20" s="2">
        <v>893.1</v>
      </c>
      <c r="P20" s="2">
        <v>1806020</v>
      </c>
      <c r="Q20" s="2">
        <v>45508</v>
      </c>
      <c r="R20" s="2">
        <f>Table1[[#This Row],[HIGH]]-Table1[[#This Row],[LOW]]</f>
        <v>30.400000000000091</v>
      </c>
    </row>
    <row r="21" spans="1:18" x14ac:dyDescent="0.35">
      <c r="A21" s="1">
        <v>46017</v>
      </c>
      <c r="B21" s="1" t="str">
        <f t="shared" si="0"/>
        <v>Friday</v>
      </c>
      <c r="C21" s="1" t="str">
        <f t="shared" si="1"/>
        <v>December</v>
      </c>
      <c r="D21" s="1" t="str">
        <f t="shared" si="2"/>
        <v>Q4</v>
      </c>
      <c r="E21" s="1" t="str">
        <f t="shared" si="3"/>
        <v>2025</v>
      </c>
      <c r="F21" t="s">
        <v>13</v>
      </c>
      <c r="G21" s="2">
        <v>1173.5999999999999</v>
      </c>
      <c r="H21" s="2">
        <v>1179.8</v>
      </c>
      <c r="I21" s="2">
        <v>1172</v>
      </c>
      <c r="J21" s="2">
        <v>1179.2</v>
      </c>
      <c r="K21" s="2">
        <v>1174</v>
      </c>
      <c r="L21" s="2">
        <v>1175.7</v>
      </c>
      <c r="M21" s="2">
        <v>1176.02</v>
      </c>
      <c r="N21" s="2">
        <v>1202.8</v>
      </c>
      <c r="O21" s="2">
        <v>890</v>
      </c>
      <c r="P21" s="2">
        <v>322741</v>
      </c>
      <c r="Q21" s="2">
        <v>15989</v>
      </c>
      <c r="R21" s="2">
        <f>Table1[[#This Row],[HIGH]]-Table1[[#This Row],[LOW]]</f>
        <v>7.7999999999999545</v>
      </c>
    </row>
    <row r="22" spans="1:18" x14ac:dyDescent="0.35">
      <c r="A22" s="1">
        <v>46015</v>
      </c>
      <c r="B22" s="1" t="str">
        <f t="shared" si="0"/>
        <v>Wednesday</v>
      </c>
      <c r="C22" s="1" t="str">
        <f t="shared" si="1"/>
        <v>December</v>
      </c>
      <c r="D22" s="1" t="str">
        <f t="shared" si="2"/>
        <v>Q4</v>
      </c>
      <c r="E22" s="1" t="str">
        <f t="shared" si="3"/>
        <v>2025</v>
      </c>
      <c r="F22" t="s">
        <v>13</v>
      </c>
      <c r="G22" s="2">
        <v>1187.3</v>
      </c>
      <c r="H22" s="2">
        <v>1189.5</v>
      </c>
      <c r="I22" s="2">
        <v>1171.4000000000001</v>
      </c>
      <c r="J22" s="2">
        <v>1185.5999999999999</v>
      </c>
      <c r="K22" s="2">
        <v>1179.2</v>
      </c>
      <c r="L22" s="2">
        <v>1179.2</v>
      </c>
      <c r="M22" s="2">
        <v>1178.53</v>
      </c>
      <c r="N22" s="2">
        <v>1202.8</v>
      </c>
      <c r="O22" s="2">
        <v>890</v>
      </c>
      <c r="P22" s="2">
        <v>530345</v>
      </c>
      <c r="Q22" s="2">
        <v>27692</v>
      </c>
      <c r="R22" s="2">
        <f>Table1[[#This Row],[HIGH]]-Table1[[#This Row],[LOW]]</f>
        <v>18.099999999999909</v>
      </c>
    </row>
    <row r="23" spans="1:18" x14ac:dyDescent="0.35">
      <c r="A23" s="1">
        <v>46014</v>
      </c>
      <c r="B23" s="1" t="str">
        <f t="shared" si="0"/>
        <v>Tuesday</v>
      </c>
      <c r="C23" s="1" t="str">
        <f t="shared" si="1"/>
        <v>December</v>
      </c>
      <c r="D23" s="1" t="str">
        <f t="shared" si="2"/>
        <v>Q4</v>
      </c>
      <c r="E23" s="1" t="str">
        <f t="shared" si="3"/>
        <v>2025</v>
      </c>
      <c r="F23" t="s">
        <v>13</v>
      </c>
      <c r="G23" s="2">
        <v>1178.8</v>
      </c>
      <c r="H23" s="2">
        <v>1187.3</v>
      </c>
      <c r="I23" s="2">
        <v>1171</v>
      </c>
      <c r="J23" s="2">
        <v>1178.8</v>
      </c>
      <c r="K23" s="2">
        <v>1185.2</v>
      </c>
      <c r="L23" s="2">
        <v>1185.5999999999999</v>
      </c>
      <c r="M23" s="2">
        <v>1182.1199999999999</v>
      </c>
      <c r="N23" s="2">
        <v>1202.8</v>
      </c>
      <c r="O23" s="2">
        <v>890</v>
      </c>
      <c r="P23" s="2">
        <v>805182</v>
      </c>
      <c r="Q23" s="2">
        <v>37955</v>
      </c>
      <c r="R23" s="2">
        <f>Table1[[#This Row],[HIGH]]-Table1[[#This Row],[LOW]]</f>
        <v>16.299999999999955</v>
      </c>
    </row>
    <row r="24" spans="1:18" x14ac:dyDescent="0.35">
      <c r="A24" s="1">
        <v>46013</v>
      </c>
      <c r="B24" s="1" t="str">
        <f t="shared" si="0"/>
        <v>Monday</v>
      </c>
      <c r="C24" s="1" t="str">
        <f t="shared" si="1"/>
        <v>December</v>
      </c>
      <c r="D24" s="1" t="str">
        <f t="shared" si="2"/>
        <v>Q4</v>
      </c>
      <c r="E24" s="1" t="str">
        <f t="shared" si="3"/>
        <v>2025</v>
      </c>
      <c r="F24" t="s">
        <v>13</v>
      </c>
      <c r="G24" s="2">
        <v>1184</v>
      </c>
      <c r="H24" s="2">
        <v>1188.7</v>
      </c>
      <c r="I24" s="2">
        <v>1174.0999999999999</v>
      </c>
      <c r="J24" s="2">
        <v>1184</v>
      </c>
      <c r="K24" s="2">
        <v>1176.4000000000001</v>
      </c>
      <c r="L24" s="2">
        <v>1178.8</v>
      </c>
      <c r="M24" s="2">
        <v>1179.0899999999999</v>
      </c>
      <c r="N24" s="2">
        <v>1202.8</v>
      </c>
      <c r="O24" s="2">
        <v>890</v>
      </c>
      <c r="P24" s="2">
        <v>670307</v>
      </c>
      <c r="Q24" s="2">
        <v>33482</v>
      </c>
      <c r="R24" s="2">
        <f>Table1[[#This Row],[HIGH]]-Table1[[#This Row],[LOW]]</f>
        <v>14.600000000000136</v>
      </c>
    </row>
    <row r="25" spans="1:18" x14ac:dyDescent="0.35">
      <c r="A25" s="1">
        <v>46010</v>
      </c>
      <c r="B25" s="1" t="str">
        <f t="shared" si="0"/>
        <v>Friday</v>
      </c>
      <c r="C25" s="1" t="str">
        <f t="shared" si="1"/>
        <v>December</v>
      </c>
      <c r="D25" s="1" t="str">
        <f t="shared" si="2"/>
        <v>Q4</v>
      </c>
      <c r="E25" s="1" t="str">
        <f t="shared" si="3"/>
        <v>2025</v>
      </c>
      <c r="F25" t="s">
        <v>13</v>
      </c>
      <c r="G25" s="2">
        <v>1171.5</v>
      </c>
      <c r="H25" s="2">
        <v>1186.3</v>
      </c>
      <c r="I25" s="2">
        <v>1169.5999999999999</v>
      </c>
      <c r="J25" s="2">
        <v>1171.5</v>
      </c>
      <c r="K25" s="2">
        <v>1182.5</v>
      </c>
      <c r="L25" s="2">
        <v>1184</v>
      </c>
      <c r="M25" s="2">
        <v>1180.69</v>
      </c>
      <c r="N25" s="2">
        <v>1202.8</v>
      </c>
      <c r="O25" s="2">
        <v>882.9</v>
      </c>
      <c r="P25" s="2">
        <v>598033</v>
      </c>
      <c r="Q25" s="2">
        <v>27184</v>
      </c>
      <c r="R25" s="2">
        <f>Table1[[#This Row],[HIGH]]-Table1[[#This Row],[LOW]]</f>
        <v>16.700000000000045</v>
      </c>
    </row>
    <row r="26" spans="1:18" x14ac:dyDescent="0.35">
      <c r="A26" s="1">
        <v>46009</v>
      </c>
      <c r="B26" s="1" t="str">
        <f t="shared" si="0"/>
        <v>Thursday</v>
      </c>
      <c r="C26" s="1" t="str">
        <f t="shared" si="1"/>
        <v>December</v>
      </c>
      <c r="D26" s="1" t="str">
        <f t="shared" si="2"/>
        <v>Q4</v>
      </c>
      <c r="E26" s="1" t="str">
        <f t="shared" si="3"/>
        <v>2025</v>
      </c>
      <c r="F26" t="s">
        <v>13</v>
      </c>
      <c r="G26" s="2">
        <v>1176.9000000000001</v>
      </c>
      <c r="H26" s="2">
        <v>1183.5999999999999</v>
      </c>
      <c r="I26" s="2">
        <v>1168</v>
      </c>
      <c r="J26" s="2">
        <v>1179.8</v>
      </c>
      <c r="K26" s="2">
        <v>1169</v>
      </c>
      <c r="L26" s="2">
        <v>1171.5</v>
      </c>
      <c r="M26" s="2">
        <v>1174.45</v>
      </c>
      <c r="N26" s="2">
        <v>1202.8</v>
      </c>
      <c r="O26" s="2">
        <v>882.9</v>
      </c>
      <c r="P26" s="2">
        <v>568209</v>
      </c>
      <c r="Q26" s="2">
        <v>29565</v>
      </c>
      <c r="R26" s="2">
        <f>Table1[[#This Row],[HIGH]]-Table1[[#This Row],[LOW]]</f>
        <v>15.599999999999909</v>
      </c>
    </row>
    <row r="27" spans="1:18" x14ac:dyDescent="0.35">
      <c r="A27" s="1">
        <v>46008</v>
      </c>
      <c r="B27" s="1" t="str">
        <f t="shared" si="0"/>
        <v>Wednesday</v>
      </c>
      <c r="C27" s="1" t="str">
        <f t="shared" si="1"/>
        <v>December</v>
      </c>
      <c r="D27" s="1" t="str">
        <f t="shared" si="2"/>
        <v>Q4</v>
      </c>
      <c r="E27" s="1" t="str">
        <f t="shared" si="3"/>
        <v>2025</v>
      </c>
      <c r="F27" t="s">
        <v>13</v>
      </c>
      <c r="G27" s="2">
        <v>1170</v>
      </c>
      <c r="H27" s="2">
        <v>1187.9000000000001</v>
      </c>
      <c r="I27" s="2">
        <v>1170</v>
      </c>
      <c r="J27" s="2">
        <v>1169.9000000000001</v>
      </c>
      <c r="K27" s="2">
        <v>1180</v>
      </c>
      <c r="L27" s="2">
        <v>1179.8</v>
      </c>
      <c r="M27" s="2">
        <v>1179.6500000000001</v>
      </c>
      <c r="N27" s="2">
        <v>1202.8</v>
      </c>
      <c r="O27" s="2">
        <v>882.9</v>
      </c>
      <c r="P27" s="2">
        <v>1502200</v>
      </c>
      <c r="Q27" s="2">
        <v>47313</v>
      </c>
      <c r="R27" s="2">
        <f>Table1[[#This Row],[HIGH]]-Table1[[#This Row],[LOW]]</f>
        <v>17.900000000000091</v>
      </c>
    </row>
    <row r="28" spans="1:18" x14ac:dyDescent="0.35">
      <c r="A28" s="1">
        <v>46007</v>
      </c>
      <c r="B28" s="1" t="str">
        <f t="shared" si="0"/>
        <v>Tuesday</v>
      </c>
      <c r="C28" s="1" t="str">
        <f t="shared" si="1"/>
        <v>December</v>
      </c>
      <c r="D28" s="1" t="str">
        <f t="shared" si="2"/>
        <v>Q4</v>
      </c>
      <c r="E28" s="1" t="str">
        <f t="shared" si="3"/>
        <v>2025</v>
      </c>
      <c r="F28" t="s">
        <v>13</v>
      </c>
      <c r="G28" s="2">
        <v>1157.4000000000001</v>
      </c>
      <c r="H28" s="2">
        <v>1176.7</v>
      </c>
      <c r="I28" s="2">
        <v>1153.4000000000001</v>
      </c>
      <c r="J28" s="2">
        <v>1157.4000000000001</v>
      </c>
      <c r="K28" s="2">
        <v>1172</v>
      </c>
      <c r="L28" s="2">
        <v>1169.9000000000001</v>
      </c>
      <c r="M28" s="2">
        <v>1169.96</v>
      </c>
      <c r="N28" s="2">
        <v>1202.8</v>
      </c>
      <c r="O28" s="2">
        <v>882.9</v>
      </c>
      <c r="P28" s="2">
        <v>1181775</v>
      </c>
      <c r="Q28" s="2">
        <v>49423</v>
      </c>
      <c r="R28" s="2">
        <f>Table1[[#This Row],[HIGH]]-Table1[[#This Row],[LOW]]</f>
        <v>23.299999999999955</v>
      </c>
    </row>
    <row r="29" spans="1:18" x14ac:dyDescent="0.35">
      <c r="A29" s="1">
        <v>46006</v>
      </c>
      <c r="B29" s="1" t="str">
        <f t="shared" si="0"/>
        <v>Monday</v>
      </c>
      <c r="C29" s="1" t="str">
        <f t="shared" si="1"/>
        <v>December</v>
      </c>
      <c r="D29" s="1" t="str">
        <f t="shared" si="2"/>
        <v>Q4</v>
      </c>
      <c r="E29" s="1" t="str">
        <f t="shared" si="3"/>
        <v>2025</v>
      </c>
      <c r="F29" t="s">
        <v>13</v>
      </c>
      <c r="G29" s="2">
        <v>1143</v>
      </c>
      <c r="H29" s="2">
        <v>1169.4000000000001</v>
      </c>
      <c r="I29" s="2">
        <v>1140.0999999999999</v>
      </c>
      <c r="J29" s="2">
        <v>1149.3</v>
      </c>
      <c r="K29" s="2">
        <v>1155</v>
      </c>
      <c r="L29" s="2">
        <v>1157.4000000000001</v>
      </c>
      <c r="M29" s="2">
        <v>1158.92</v>
      </c>
      <c r="N29" s="2">
        <v>1202.8</v>
      </c>
      <c r="O29" s="2">
        <v>882.9</v>
      </c>
      <c r="P29" s="2">
        <v>1037323</v>
      </c>
      <c r="Q29" s="2">
        <v>47310</v>
      </c>
      <c r="R29" s="2">
        <f>Table1[[#This Row],[HIGH]]-Table1[[#This Row],[LOW]]</f>
        <v>29.300000000000182</v>
      </c>
    </row>
    <row r="30" spans="1:18" x14ac:dyDescent="0.35">
      <c r="A30" s="1">
        <v>46003</v>
      </c>
      <c r="B30" s="1" t="str">
        <f t="shared" si="0"/>
        <v>Friday</v>
      </c>
      <c r="C30" s="1" t="str">
        <f t="shared" si="1"/>
        <v>December</v>
      </c>
      <c r="D30" s="1" t="str">
        <f t="shared" si="2"/>
        <v>Q4</v>
      </c>
      <c r="E30" s="1" t="str">
        <f t="shared" si="3"/>
        <v>2025</v>
      </c>
      <c r="F30" t="s">
        <v>13</v>
      </c>
      <c r="G30" s="2">
        <v>1142.0999999999999</v>
      </c>
      <c r="H30" s="2">
        <v>1151</v>
      </c>
      <c r="I30" s="2">
        <v>1138</v>
      </c>
      <c r="J30" s="2">
        <v>1142.0999999999999</v>
      </c>
      <c r="K30" s="2">
        <v>1149.5</v>
      </c>
      <c r="L30" s="2">
        <v>1149.3</v>
      </c>
      <c r="M30" s="2">
        <v>1144.95</v>
      </c>
      <c r="N30" s="2">
        <v>1202.8</v>
      </c>
      <c r="O30" s="2">
        <v>882.9</v>
      </c>
      <c r="P30" s="2">
        <v>751834</v>
      </c>
      <c r="Q30" s="2">
        <v>28360</v>
      </c>
      <c r="R30" s="2">
        <f>Table1[[#This Row],[HIGH]]-Table1[[#This Row],[LOW]]</f>
        <v>13</v>
      </c>
    </row>
    <row r="31" spans="1:18" x14ac:dyDescent="0.35">
      <c r="A31" s="1">
        <v>46002</v>
      </c>
      <c r="B31" s="1" t="str">
        <f t="shared" si="0"/>
        <v>Thursday</v>
      </c>
      <c r="C31" s="1" t="str">
        <f t="shared" si="1"/>
        <v>December</v>
      </c>
      <c r="D31" s="1" t="str">
        <f t="shared" si="2"/>
        <v>Q4</v>
      </c>
      <c r="E31" s="1" t="str">
        <f t="shared" si="3"/>
        <v>2025</v>
      </c>
      <c r="F31" t="s">
        <v>13</v>
      </c>
      <c r="G31" s="2">
        <v>1136.0999999999999</v>
      </c>
      <c r="H31" s="2">
        <v>1154.2</v>
      </c>
      <c r="I31" s="2">
        <v>1135</v>
      </c>
      <c r="J31" s="2">
        <v>1140.0999999999999</v>
      </c>
      <c r="K31" s="2">
        <v>1143</v>
      </c>
      <c r="L31" s="2">
        <v>1142.0999999999999</v>
      </c>
      <c r="M31" s="2">
        <v>1146.26</v>
      </c>
      <c r="N31" s="2">
        <v>1202.8</v>
      </c>
      <c r="O31" s="2">
        <v>882.9</v>
      </c>
      <c r="P31" s="2">
        <v>616435</v>
      </c>
      <c r="Q31" s="2">
        <v>32399</v>
      </c>
      <c r="R31" s="2">
        <f>Table1[[#This Row],[HIGH]]-Table1[[#This Row],[LOW]]</f>
        <v>19.200000000000045</v>
      </c>
    </row>
    <row r="32" spans="1:18" x14ac:dyDescent="0.35">
      <c r="A32" s="1">
        <v>46001</v>
      </c>
      <c r="B32" s="1" t="str">
        <f t="shared" si="0"/>
        <v>Wednesday</v>
      </c>
      <c r="C32" s="1" t="str">
        <f t="shared" si="1"/>
        <v>December</v>
      </c>
      <c r="D32" s="1" t="str">
        <f t="shared" si="2"/>
        <v>Q4</v>
      </c>
      <c r="E32" s="1" t="str">
        <f t="shared" si="3"/>
        <v>2025</v>
      </c>
      <c r="F32" t="s">
        <v>13</v>
      </c>
      <c r="G32" s="2">
        <v>1141.0999999999999</v>
      </c>
      <c r="H32" s="2">
        <v>1156.7</v>
      </c>
      <c r="I32" s="2">
        <v>1138.3</v>
      </c>
      <c r="J32" s="2">
        <v>1146.7</v>
      </c>
      <c r="K32" s="2">
        <v>1140.4000000000001</v>
      </c>
      <c r="L32" s="2">
        <v>1140.0999999999999</v>
      </c>
      <c r="M32" s="2">
        <v>1143.52</v>
      </c>
      <c r="N32" s="2">
        <v>1202.8</v>
      </c>
      <c r="O32" s="2">
        <v>882.9</v>
      </c>
      <c r="P32" s="2">
        <v>342793</v>
      </c>
      <c r="Q32" s="2">
        <v>35204</v>
      </c>
      <c r="R32" s="2">
        <f>Table1[[#This Row],[HIGH]]-Table1[[#This Row],[LOW]]</f>
        <v>18.400000000000091</v>
      </c>
    </row>
    <row r="33" spans="1:18" x14ac:dyDescent="0.35">
      <c r="A33" s="1">
        <v>46000</v>
      </c>
      <c r="B33" s="1" t="str">
        <f t="shared" si="0"/>
        <v>Tuesday</v>
      </c>
      <c r="C33" s="1" t="str">
        <f t="shared" si="1"/>
        <v>December</v>
      </c>
      <c r="D33" s="1" t="str">
        <f t="shared" si="2"/>
        <v>Q4</v>
      </c>
      <c r="E33" s="1" t="str">
        <f t="shared" si="3"/>
        <v>2025</v>
      </c>
      <c r="F33" t="s">
        <v>13</v>
      </c>
      <c r="G33" s="2">
        <v>1140.5999999999999</v>
      </c>
      <c r="H33" s="2">
        <v>1151.0999999999999</v>
      </c>
      <c r="I33" s="2">
        <v>1131.9000000000001</v>
      </c>
      <c r="J33" s="2">
        <v>1145.8</v>
      </c>
      <c r="K33" s="2">
        <v>1145.5999999999999</v>
      </c>
      <c r="L33" s="2">
        <v>1146.7</v>
      </c>
      <c r="M33" s="2">
        <v>1144.93</v>
      </c>
      <c r="N33" s="2">
        <v>1202.8</v>
      </c>
      <c r="O33" s="2">
        <v>882.9</v>
      </c>
      <c r="P33" s="2">
        <v>851746</v>
      </c>
      <c r="Q33" s="2">
        <v>60314</v>
      </c>
      <c r="R33" s="2">
        <f>Table1[[#This Row],[HIGH]]-Table1[[#This Row],[LOW]]</f>
        <v>19.199999999999818</v>
      </c>
    </row>
    <row r="34" spans="1:18" x14ac:dyDescent="0.35">
      <c r="A34" s="1">
        <v>45999</v>
      </c>
      <c r="B34" s="1" t="str">
        <f t="shared" si="0"/>
        <v>Monday</v>
      </c>
      <c r="C34" s="1" t="str">
        <f t="shared" si="1"/>
        <v>December</v>
      </c>
      <c r="D34" s="1" t="str">
        <f t="shared" si="2"/>
        <v>Q4</v>
      </c>
      <c r="E34" s="1" t="str">
        <f t="shared" si="3"/>
        <v>2025</v>
      </c>
      <c r="F34" t="s">
        <v>13</v>
      </c>
      <c r="G34" s="2">
        <v>1162.9000000000001</v>
      </c>
      <c r="H34" s="2">
        <v>1171</v>
      </c>
      <c r="I34" s="2">
        <v>1142.3</v>
      </c>
      <c r="J34" s="2">
        <v>1162.9000000000001</v>
      </c>
      <c r="K34" s="2">
        <v>1145</v>
      </c>
      <c r="L34" s="2">
        <v>1145.8</v>
      </c>
      <c r="M34" s="2">
        <v>1152.0899999999999</v>
      </c>
      <c r="N34" s="2">
        <v>1202.8</v>
      </c>
      <c r="O34" s="2">
        <v>882.9</v>
      </c>
      <c r="P34" s="2">
        <v>590111</v>
      </c>
      <c r="Q34" s="2">
        <v>39067</v>
      </c>
      <c r="R34" s="2">
        <f>Table1[[#This Row],[HIGH]]-Table1[[#This Row],[LOW]]</f>
        <v>28.700000000000045</v>
      </c>
    </row>
    <row r="35" spans="1:18" x14ac:dyDescent="0.35">
      <c r="A35" s="1">
        <v>45996</v>
      </c>
      <c r="B35" s="1" t="str">
        <f t="shared" si="0"/>
        <v>Friday</v>
      </c>
      <c r="C35" s="1" t="str">
        <f t="shared" si="1"/>
        <v>December</v>
      </c>
      <c r="D35" s="1" t="str">
        <f t="shared" si="2"/>
        <v>Q4</v>
      </c>
      <c r="E35" s="1" t="str">
        <f t="shared" si="3"/>
        <v>2025</v>
      </c>
      <c r="F35" t="s">
        <v>13</v>
      </c>
      <c r="G35" s="2">
        <v>1148.4000000000001</v>
      </c>
      <c r="H35" s="2">
        <v>1165.3</v>
      </c>
      <c r="I35" s="2">
        <v>1140.0999999999999</v>
      </c>
      <c r="J35" s="2">
        <v>1148.4000000000001</v>
      </c>
      <c r="K35" s="2">
        <v>1161.9000000000001</v>
      </c>
      <c r="L35" s="2">
        <v>1162.9000000000001</v>
      </c>
      <c r="M35" s="2">
        <v>1156.8</v>
      </c>
      <c r="N35" s="2">
        <v>1202.8</v>
      </c>
      <c r="O35" s="2">
        <v>882.9</v>
      </c>
      <c r="P35" s="2">
        <v>699541</v>
      </c>
      <c r="Q35" s="2">
        <v>36297</v>
      </c>
      <c r="R35" s="2">
        <f>Table1[[#This Row],[HIGH]]-Table1[[#This Row],[LOW]]</f>
        <v>25.200000000000045</v>
      </c>
    </row>
    <row r="36" spans="1:18" x14ac:dyDescent="0.35">
      <c r="A36" s="1">
        <v>45995</v>
      </c>
      <c r="B36" s="1" t="str">
        <f t="shared" si="0"/>
        <v>Thursday</v>
      </c>
      <c r="C36" s="1" t="str">
        <f t="shared" si="1"/>
        <v>December</v>
      </c>
      <c r="D36" s="1" t="str">
        <f t="shared" si="2"/>
        <v>Q4</v>
      </c>
      <c r="E36" s="1" t="str">
        <f t="shared" si="3"/>
        <v>2025</v>
      </c>
      <c r="F36" t="s">
        <v>13</v>
      </c>
      <c r="G36" s="2">
        <v>1153</v>
      </c>
      <c r="H36" s="2">
        <v>1154</v>
      </c>
      <c r="I36" s="2">
        <v>1137.0999999999999</v>
      </c>
      <c r="J36" s="2">
        <v>1140</v>
      </c>
      <c r="K36" s="2">
        <v>1145.0999999999999</v>
      </c>
      <c r="L36" s="2">
        <v>1148.4000000000001</v>
      </c>
      <c r="M36" s="2">
        <v>1144.83</v>
      </c>
      <c r="N36" s="2">
        <v>1202.8</v>
      </c>
      <c r="O36" s="2">
        <v>882.9</v>
      </c>
      <c r="P36" s="2">
        <v>703643</v>
      </c>
      <c r="Q36" s="2">
        <v>30615</v>
      </c>
      <c r="R36" s="2">
        <f>Table1[[#This Row],[HIGH]]-Table1[[#This Row],[LOW]]</f>
        <v>16.900000000000091</v>
      </c>
    </row>
    <row r="37" spans="1:18" x14ac:dyDescent="0.35">
      <c r="A37" s="1">
        <v>45994</v>
      </c>
      <c r="B37" s="1" t="str">
        <f t="shared" si="0"/>
        <v>Wednesday</v>
      </c>
      <c r="C37" s="1" t="str">
        <f t="shared" si="1"/>
        <v>December</v>
      </c>
      <c r="D37" s="1" t="str">
        <f t="shared" si="2"/>
        <v>Q4</v>
      </c>
      <c r="E37" s="1" t="str">
        <f t="shared" si="3"/>
        <v>2025</v>
      </c>
      <c r="F37" t="s">
        <v>13</v>
      </c>
      <c r="G37" s="2">
        <v>1159.8</v>
      </c>
      <c r="H37" s="2">
        <v>1163.4000000000001</v>
      </c>
      <c r="I37" s="2">
        <v>1133.5999999999999</v>
      </c>
      <c r="J37" s="2">
        <v>1162.2</v>
      </c>
      <c r="K37" s="2">
        <v>1136</v>
      </c>
      <c r="L37" s="2">
        <v>1140</v>
      </c>
      <c r="M37" s="2">
        <v>1141.76</v>
      </c>
      <c r="N37" s="2">
        <v>1202.8</v>
      </c>
      <c r="O37" s="2">
        <v>882.9</v>
      </c>
      <c r="P37" s="2">
        <v>716554</v>
      </c>
      <c r="Q37" s="2">
        <v>31877</v>
      </c>
      <c r="R37" s="2">
        <f>Table1[[#This Row],[HIGH]]-Table1[[#This Row],[LOW]]</f>
        <v>29.800000000000182</v>
      </c>
    </row>
    <row r="38" spans="1:18" x14ac:dyDescent="0.35">
      <c r="A38" s="1">
        <v>45993</v>
      </c>
      <c r="B38" s="1" t="str">
        <f t="shared" si="0"/>
        <v>Tuesday</v>
      </c>
      <c r="C38" s="1" t="str">
        <f t="shared" si="1"/>
        <v>December</v>
      </c>
      <c r="D38" s="1" t="str">
        <f t="shared" si="2"/>
        <v>Q4</v>
      </c>
      <c r="E38" s="1" t="str">
        <f t="shared" si="3"/>
        <v>2025</v>
      </c>
      <c r="F38" t="s">
        <v>13</v>
      </c>
      <c r="G38" s="2">
        <v>1160</v>
      </c>
      <c r="H38" s="2">
        <v>1173.0999999999999</v>
      </c>
      <c r="I38" s="2">
        <v>1156.2</v>
      </c>
      <c r="J38" s="2">
        <v>1163.8</v>
      </c>
      <c r="K38" s="2">
        <v>1161</v>
      </c>
      <c r="L38" s="2">
        <v>1162.2</v>
      </c>
      <c r="M38" s="2">
        <v>1161.93</v>
      </c>
      <c r="N38" s="2">
        <v>1202.8</v>
      </c>
      <c r="O38" s="2">
        <v>882.9</v>
      </c>
      <c r="P38" s="2">
        <v>708989</v>
      </c>
      <c r="Q38" s="2">
        <v>39200</v>
      </c>
      <c r="R38" s="2">
        <f>Table1[[#This Row],[HIGH]]-Table1[[#This Row],[LOW]]</f>
        <v>16.899999999999864</v>
      </c>
    </row>
    <row r="39" spans="1:18" x14ac:dyDescent="0.35">
      <c r="A39" s="1">
        <v>45992</v>
      </c>
      <c r="B39" s="1" t="str">
        <f t="shared" si="0"/>
        <v>Monday</v>
      </c>
      <c r="C39" s="1" t="str">
        <f t="shared" si="1"/>
        <v>December</v>
      </c>
      <c r="D39" s="1" t="str">
        <f t="shared" si="2"/>
        <v>Q4</v>
      </c>
      <c r="E39" s="1" t="str">
        <f t="shared" si="3"/>
        <v>2025</v>
      </c>
      <c r="F39" t="s">
        <v>13</v>
      </c>
      <c r="G39" s="2">
        <v>1172.4000000000001</v>
      </c>
      <c r="H39" s="2">
        <v>1178</v>
      </c>
      <c r="I39" s="2">
        <v>1159.5999999999999</v>
      </c>
      <c r="J39" s="2">
        <v>1172.4000000000001</v>
      </c>
      <c r="K39" s="2">
        <v>1162.5</v>
      </c>
      <c r="L39" s="2">
        <v>1163.8</v>
      </c>
      <c r="M39" s="2">
        <v>1164.25</v>
      </c>
      <c r="N39" s="2">
        <v>1202.8</v>
      </c>
      <c r="O39" s="2">
        <v>882.9</v>
      </c>
      <c r="P39" s="2">
        <v>487062</v>
      </c>
      <c r="Q39" s="2">
        <v>32280</v>
      </c>
      <c r="R39" s="2">
        <f>Table1[[#This Row],[HIGH]]-Table1[[#This Row],[LOW]]</f>
        <v>18.400000000000091</v>
      </c>
    </row>
    <row r="40" spans="1:18" x14ac:dyDescent="0.35">
      <c r="A40" s="1">
        <v>45989</v>
      </c>
      <c r="B40" s="1" t="str">
        <f t="shared" si="0"/>
        <v>Friday</v>
      </c>
      <c r="C40" s="1" t="str">
        <f t="shared" si="1"/>
        <v>November</v>
      </c>
      <c r="D40" s="1" t="str">
        <f t="shared" si="2"/>
        <v>Q4</v>
      </c>
      <c r="E40" s="1" t="str">
        <f t="shared" si="3"/>
        <v>2025</v>
      </c>
      <c r="F40" t="s">
        <v>13</v>
      </c>
      <c r="G40" s="2">
        <v>1177.0999999999999</v>
      </c>
      <c r="H40" s="2">
        <v>1182.0999999999999</v>
      </c>
      <c r="I40" s="2">
        <v>1165.7</v>
      </c>
      <c r="J40" s="2">
        <v>1177.7</v>
      </c>
      <c r="K40" s="2">
        <v>1171.7</v>
      </c>
      <c r="L40" s="2">
        <v>1172.4000000000001</v>
      </c>
      <c r="M40" s="2">
        <v>1172.03</v>
      </c>
      <c r="N40" s="2">
        <v>1202.8</v>
      </c>
      <c r="O40" s="2">
        <v>882.9</v>
      </c>
      <c r="P40" s="2">
        <v>1020242</v>
      </c>
      <c r="Q40" s="2">
        <v>31601</v>
      </c>
      <c r="R40" s="2">
        <f>Table1[[#This Row],[HIGH]]-Table1[[#This Row],[LOW]]</f>
        <v>16.399999999999864</v>
      </c>
    </row>
    <row r="41" spans="1:18" x14ac:dyDescent="0.35">
      <c r="A41" s="1">
        <v>45988</v>
      </c>
      <c r="B41" s="1" t="str">
        <f t="shared" si="0"/>
        <v>Thursday</v>
      </c>
      <c r="C41" s="1" t="str">
        <f t="shared" si="1"/>
        <v>November</v>
      </c>
      <c r="D41" s="1" t="str">
        <f t="shared" si="2"/>
        <v>Q4</v>
      </c>
      <c r="E41" s="1" t="str">
        <f t="shared" si="3"/>
        <v>2025</v>
      </c>
      <c r="F41" t="s">
        <v>13</v>
      </c>
      <c r="G41" s="2">
        <v>1187</v>
      </c>
      <c r="H41" s="2">
        <v>1192.9000000000001</v>
      </c>
      <c r="I41" s="2">
        <v>1168.3</v>
      </c>
      <c r="J41" s="2">
        <v>1185.3</v>
      </c>
      <c r="K41" s="2">
        <v>1175.5</v>
      </c>
      <c r="L41" s="2">
        <v>1177.7</v>
      </c>
      <c r="M41" s="2">
        <v>1178.75</v>
      </c>
      <c r="N41" s="2">
        <v>1202.8</v>
      </c>
      <c r="O41" s="2">
        <v>882.9</v>
      </c>
      <c r="P41" s="2">
        <v>1118308</v>
      </c>
      <c r="Q41" s="2">
        <v>43191</v>
      </c>
      <c r="R41" s="2">
        <f>Table1[[#This Row],[HIGH]]-Table1[[#This Row],[LOW]]</f>
        <v>24.600000000000136</v>
      </c>
    </row>
    <row r="42" spans="1:18" x14ac:dyDescent="0.35">
      <c r="A42" s="1">
        <v>45987</v>
      </c>
      <c r="B42" s="1" t="str">
        <f t="shared" si="0"/>
        <v>Wednesday</v>
      </c>
      <c r="C42" s="1" t="str">
        <f t="shared" si="1"/>
        <v>November</v>
      </c>
      <c r="D42" s="1" t="str">
        <f t="shared" si="2"/>
        <v>Q4</v>
      </c>
      <c r="E42" s="1" t="str">
        <f t="shared" si="3"/>
        <v>2025</v>
      </c>
      <c r="F42" t="s">
        <v>13</v>
      </c>
      <c r="G42" s="2">
        <v>1150</v>
      </c>
      <c r="H42" s="2">
        <v>1187</v>
      </c>
      <c r="I42" s="2">
        <v>1150</v>
      </c>
      <c r="J42" s="2">
        <v>1177.7</v>
      </c>
      <c r="K42" s="2">
        <v>1186.3</v>
      </c>
      <c r="L42" s="2">
        <v>1185.3</v>
      </c>
      <c r="M42" s="2">
        <v>1181.77</v>
      </c>
      <c r="N42" s="2">
        <v>1202.8</v>
      </c>
      <c r="O42" s="2">
        <v>882.9</v>
      </c>
      <c r="P42" s="2">
        <v>713335</v>
      </c>
      <c r="Q42" s="2">
        <v>27587</v>
      </c>
      <c r="R42" s="2">
        <f>Table1[[#This Row],[HIGH]]-Table1[[#This Row],[LOW]]</f>
        <v>37</v>
      </c>
    </row>
    <row r="43" spans="1:18" x14ac:dyDescent="0.35">
      <c r="A43" s="1">
        <v>45986</v>
      </c>
      <c r="B43" s="1" t="str">
        <f t="shared" si="0"/>
        <v>Tuesday</v>
      </c>
      <c r="C43" s="1" t="str">
        <f t="shared" si="1"/>
        <v>November</v>
      </c>
      <c r="D43" s="1" t="str">
        <f t="shared" si="2"/>
        <v>Q4</v>
      </c>
      <c r="E43" s="1" t="str">
        <f t="shared" si="3"/>
        <v>2025</v>
      </c>
      <c r="F43" t="s">
        <v>13</v>
      </c>
      <c r="G43" s="2">
        <v>1188</v>
      </c>
      <c r="H43" s="2">
        <v>1194</v>
      </c>
      <c r="I43" s="2">
        <v>1165.7</v>
      </c>
      <c r="J43" s="2">
        <v>1186</v>
      </c>
      <c r="K43" s="2">
        <v>1174.7</v>
      </c>
      <c r="L43" s="2">
        <v>1177.7</v>
      </c>
      <c r="M43" s="2">
        <v>1177.8800000000001</v>
      </c>
      <c r="N43" s="2">
        <v>1202.8</v>
      </c>
      <c r="O43" s="2">
        <v>882.9</v>
      </c>
      <c r="P43" s="2">
        <v>1258048</v>
      </c>
      <c r="Q43" s="2">
        <v>47170</v>
      </c>
      <c r="R43" s="2">
        <f>Table1[[#This Row],[HIGH]]-Table1[[#This Row],[LOW]]</f>
        <v>28.299999999999955</v>
      </c>
    </row>
    <row r="44" spans="1:18" x14ac:dyDescent="0.35">
      <c r="A44" s="1">
        <v>45985</v>
      </c>
      <c r="B44" s="1" t="str">
        <f t="shared" si="0"/>
        <v>Monday</v>
      </c>
      <c r="C44" s="1" t="str">
        <f t="shared" si="1"/>
        <v>November</v>
      </c>
      <c r="D44" s="1" t="str">
        <f t="shared" si="2"/>
        <v>Q4</v>
      </c>
      <c r="E44" s="1" t="str">
        <f t="shared" si="3"/>
        <v>2025</v>
      </c>
      <c r="F44" t="s">
        <v>13</v>
      </c>
      <c r="G44" s="2">
        <v>1188.5</v>
      </c>
      <c r="H44" s="2">
        <v>1194.7</v>
      </c>
      <c r="I44" s="2">
        <v>1171.8</v>
      </c>
      <c r="J44" s="2">
        <v>1183.0999999999999</v>
      </c>
      <c r="K44" s="2">
        <v>1183</v>
      </c>
      <c r="L44" s="2">
        <v>1186</v>
      </c>
      <c r="M44" s="2">
        <v>1183.71</v>
      </c>
      <c r="N44" s="2">
        <v>1202.8</v>
      </c>
      <c r="O44" s="2">
        <v>882.9</v>
      </c>
      <c r="P44" s="2">
        <v>4765158</v>
      </c>
      <c r="Q44" s="2">
        <v>61476</v>
      </c>
      <c r="R44" s="2">
        <f>Table1[[#This Row],[HIGH]]-Table1[[#This Row],[LOW]]</f>
        <v>22.900000000000091</v>
      </c>
    </row>
    <row r="45" spans="1:18" x14ac:dyDescent="0.35">
      <c r="A45" s="1">
        <v>45982</v>
      </c>
      <c r="B45" s="1" t="str">
        <f t="shared" si="0"/>
        <v>Friday</v>
      </c>
      <c r="C45" s="1" t="str">
        <f t="shared" si="1"/>
        <v>November</v>
      </c>
      <c r="D45" s="1" t="str">
        <f t="shared" si="2"/>
        <v>Q4</v>
      </c>
      <c r="E45" s="1" t="str">
        <f t="shared" si="3"/>
        <v>2025</v>
      </c>
      <c r="F45" t="s">
        <v>13</v>
      </c>
      <c r="G45" s="2">
        <v>1173.9000000000001</v>
      </c>
      <c r="H45" s="2">
        <v>1187</v>
      </c>
      <c r="I45" s="2">
        <v>1162.5</v>
      </c>
      <c r="J45" s="2">
        <v>1173.9000000000001</v>
      </c>
      <c r="K45" s="2">
        <v>1184.5</v>
      </c>
      <c r="L45" s="2">
        <v>1183.0999999999999</v>
      </c>
      <c r="M45" s="2">
        <v>1176.05</v>
      </c>
      <c r="N45" s="2">
        <v>1202.8</v>
      </c>
      <c r="O45" s="2">
        <v>882.9</v>
      </c>
      <c r="P45" s="2">
        <v>3194549</v>
      </c>
      <c r="Q45" s="2">
        <v>49506</v>
      </c>
      <c r="R45" s="2">
        <f>Table1[[#This Row],[HIGH]]-Table1[[#This Row],[LOW]]</f>
        <v>24.5</v>
      </c>
    </row>
    <row r="46" spans="1:18" x14ac:dyDescent="0.35">
      <c r="A46" s="1">
        <v>45981</v>
      </c>
      <c r="B46" s="1" t="str">
        <f t="shared" si="0"/>
        <v>Thursday</v>
      </c>
      <c r="C46" s="1" t="str">
        <f t="shared" si="1"/>
        <v>November</v>
      </c>
      <c r="D46" s="1" t="str">
        <f t="shared" si="2"/>
        <v>Q4</v>
      </c>
      <c r="E46" s="1" t="str">
        <f t="shared" si="3"/>
        <v>2025</v>
      </c>
      <c r="F46" t="s">
        <v>13</v>
      </c>
      <c r="G46" s="2">
        <v>1164.9000000000001</v>
      </c>
      <c r="H46" s="2">
        <v>1179.4000000000001</v>
      </c>
      <c r="I46" s="2">
        <v>1163</v>
      </c>
      <c r="J46" s="2">
        <v>1162.0999999999999</v>
      </c>
      <c r="K46" s="2">
        <v>1169</v>
      </c>
      <c r="L46" s="2">
        <v>1173.9000000000001</v>
      </c>
      <c r="M46" s="2">
        <v>1172.77</v>
      </c>
      <c r="N46" s="2">
        <v>1202.8</v>
      </c>
      <c r="O46" s="2">
        <v>882.9</v>
      </c>
      <c r="P46" s="2">
        <v>2193836</v>
      </c>
      <c r="Q46" s="2">
        <v>62036</v>
      </c>
      <c r="R46" s="2">
        <f>Table1[[#This Row],[HIGH]]-Table1[[#This Row],[LOW]]</f>
        <v>16.400000000000091</v>
      </c>
    </row>
    <row r="47" spans="1:18" x14ac:dyDescent="0.35">
      <c r="A47" s="1">
        <v>45980</v>
      </c>
      <c r="B47" s="1" t="str">
        <f t="shared" si="0"/>
        <v>Wednesday</v>
      </c>
      <c r="C47" s="1" t="str">
        <f t="shared" si="1"/>
        <v>November</v>
      </c>
      <c r="D47" s="1" t="str">
        <f t="shared" si="2"/>
        <v>Q4</v>
      </c>
      <c r="E47" s="1" t="str">
        <f t="shared" si="3"/>
        <v>2025</v>
      </c>
      <c r="F47" t="s">
        <v>13</v>
      </c>
      <c r="G47" s="2">
        <v>1154.0999999999999</v>
      </c>
      <c r="H47" s="2">
        <v>1165.8</v>
      </c>
      <c r="I47" s="2">
        <v>1149</v>
      </c>
      <c r="J47" s="2">
        <v>1154.0999999999999</v>
      </c>
      <c r="K47" s="2">
        <v>1163.5</v>
      </c>
      <c r="L47" s="2">
        <v>1162.0999999999999</v>
      </c>
      <c r="M47" s="2">
        <v>1156.9100000000001</v>
      </c>
      <c r="N47" s="2">
        <v>1202.8</v>
      </c>
      <c r="O47" s="2">
        <v>882.9</v>
      </c>
      <c r="P47" s="2">
        <v>1935207</v>
      </c>
      <c r="Q47" s="2">
        <v>43361</v>
      </c>
      <c r="R47" s="2">
        <f>Table1[[#This Row],[HIGH]]-Table1[[#This Row],[LOW]]</f>
        <v>16.799999999999955</v>
      </c>
    </row>
    <row r="48" spans="1:18" x14ac:dyDescent="0.35">
      <c r="A48" s="1">
        <v>45979</v>
      </c>
      <c r="B48" s="1" t="str">
        <f t="shared" si="0"/>
        <v>Tuesday</v>
      </c>
      <c r="C48" s="1" t="str">
        <f t="shared" si="1"/>
        <v>November</v>
      </c>
      <c r="D48" s="1" t="str">
        <f t="shared" si="2"/>
        <v>Q4</v>
      </c>
      <c r="E48" s="1" t="str">
        <f t="shared" si="3"/>
        <v>2025</v>
      </c>
      <c r="F48" t="s">
        <v>13</v>
      </c>
      <c r="G48" s="2">
        <v>1178.7</v>
      </c>
      <c r="H48" s="2">
        <v>1178.7</v>
      </c>
      <c r="I48" s="2">
        <v>1151.9000000000001</v>
      </c>
      <c r="J48" s="2">
        <v>1178.9000000000001</v>
      </c>
      <c r="K48" s="2">
        <v>1152</v>
      </c>
      <c r="L48" s="2">
        <v>1154.0999999999999</v>
      </c>
      <c r="M48" s="2">
        <v>1162.8599999999999</v>
      </c>
      <c r="N48" s="2">
        <v>1202.8</v>
      </c>
      <c r="O48" s="2">
        <v>882.9</v>
      </c>
      <c r="P48" s="2">
        <v>1695622</v>
      </c>
      <c r="Q48" s="2">
        <v>31432</v>
      </c>
      <c r="R48" s="2">
        <f>Table1[[#This Row],[HIGH]]-Table1[[#This Row],[LOW]]</f>
        <v>26.799999999999955</v>
      </c>
    </row>
    <row r="49" spans="1:18" x14ac:dyDescent="0.35">
      <c r="A49" s="1">
        <v>45978</v>
      </c>
      <c r="B49" s="1" t="str">
        <f t="shared" si="0"/>
        <v>Monday</v>
      </c>
      <c r="C49" s="1" t="str">
        <f t="shared" si="1"/>
        <v>November</v>
      </c>
      <c r="D49" s="1" t="str">
        <f t="shared" si="2"/>
        <v>Q4</v>
      </c>
      <c r="E49" s="1" t="str">
        <f t="shared" si="3"/>
        <v>2025</v>
      </c>
      <c r="F49" t="s">
        <v>13</v>
      </c>
      <c r="G49" s="2">
        <v>1166</v>
      </c>
      <c r="H49" s="2">
        <v>1182.8</v>
      </c>
      <c r="I49" s="2">
        <v>1158</v>
      </c>
      <c r="J49" s="2">
        <v>1157.8</v>
      </c>
      <c r="K49" s="2">
        <v>1179</v>
      </c>
      <c r="L49" s="2">
        <v>1178.9000000000001</v>
      </c>
      <c r="M49" s="2">
        <v>1174.29</v>
      </c>
      <c r="N49" s="2">
        <v>1202.8</v>
      </c>
      <c r="O49" s="2">
        <v>882.9</v>
      </c>
      <c r="P49" s="2">
        <v>2105780</v>
      </c>
      <c r="Q49" s="2">
        <v>50731</v>
      </c>
      <c r="R49" s="2">
        <f>Table1[[#This Row],[HIGH]]-Table1[[#This Row],[LOW]]</f>
        <v>24.799999999999955</v>
      </c>
    </row>
    <row r="50" spans="1:18" x14ac:dyDescent="0.35">
      <c r="A50" s="1">
        <v>45975</v>
      </c>
      <c r="B50" s="1" t="str">
        <f t="shared" si="0"/>
        <v>Friday</v>
      </c>
      <c r="C50" s="1" t="str">
        <f t="shared" si="1"/>
        <v>November</v>
      </c>
      <c r="D50" s="1" t="str">
        <f t="shared" si="2"/>
        <v>Q4</v>
      </c>
      <c r="E50" s="1" t="str">
        <f t="shared" si="3"/>
        <v>2025</v>
      </c>
      <c r="F50" t="s">
        <v>13</v>
      </c>
      <c r="G50" s="2">
        <v>1149</v>
      </c>
      <c r="H50" s="2">
        <v>1163.5999999999999</v>
      </c>
      <c r="I50" s="2">
        <v>1146.8</v>
      </c>
      <c r="J50" s="2">
        <v>1154.8</v>
      </c>
      <c r="K50" s="2">
        <v>1155</v>
      </c>
      <c r="L50" s="2">
        <v>1157.8</v>
      </c>
      <c r="M50" s="2">
        <v>1157.1500000000001</v>
      </c>
      <c r="N50" s="2">
        <v>1202.8</v>
      </c>
      <c r="O50" s="2">
        <v>882.9</v>
      </c>
      <c r="P50" s="2">
        <v>1832598</v>
      </c>
      <c r="Q50" s="2">
        <v>58177</v>
      </c>
      <c r="R50" s="2">
        <f>Table1[[#This Row],[HIGH]]-Table1[[#This Row],[LOW]]</f>
        <v>16.799999999999955</v>
      </c>
    </row>
    <row r="51" spans="1:18" x14ac:dyDescent="0.35">
      <c r="A51" s="1">
        <v>45974</v>
      </c>
      <c r="B51" s="1" t="str">
        <f t="shared" si="0"/>
        <v>Thursday</v>
      </c>
      <c r="C51" s="1" t="str">
        <f t="shared" si="1"/>
        <v>November</v>
      </c>
      <c r="D51" s="1" t="str">
        <f t="shared" si="2"/>
        <v>Q4</v>
      </c>
      <c r="E51" s="1" t="str">
        <f t="shared" si="3"/>
        <v>2025</v>
      </c>
      <c r="F51" t="s">
        <v>13</v>
      </c>
      <c r="G51" s="2">
        <v>1168</v>
      </c>
      <c r="H51" s="2">
        <v>1168</v>
      </c>
      <c r="I51" s="2">
        <v>1146.5999999999999</v>
      </c>
      <c r="J51" s="2">
        <v>1162</v>
      </c>
      <c r="K51" s="2">
        <v>1150</v>
      </c>
      <c r="L51" s="2">
        <v>1154.8</v>
      </c>
      <c r="M51" s="2">
        <v>1157.21</v>
      </c>
      <c r="N51" s="2">
        <v>1202.8</v>
      </c>
      <c r="O51" s="2">
        <v>882.9</v>
      </c>
      <c r="P51" s="2">
        <v>1603498</v>
      </c>
      <c r="Q51" s="2">
        <v>51317</v>
      </c>
      <c r="R51" s="2">
        <f>Table1[[#This Row],[HIGH]]-Table1[[#This Row],[LOW]]</f>
        <v>21.400000000000091</v>
      </c>
    </row>
    <row r="52" spans="1:18" x14ac:dyDescent="0.35">
      <c r="A52" s="1">
        <v>45973</v>
      </c>
      <c r="B52" s="1" t="str">
        <f t="shared" si="0"/>
        <v>Wednesday</v>
      </c>
      <c r="C52" s="1" t="str">
        <f t="shared" si="1"/>
        <v>November</v>
      </c>
      <c r="D52" s="1" t="str">
        <f t="shared" si="2"/>
        <v>Q4</v>
      </c>
      <c r="E52" s="1" t="str">
        <f t="shared" si="3"/>
        <v>2025</v>
      </c>
      <c r="F52" t="s">
        <v>13</v>
      </c>
      <c r="G52" s="2">
        <v>1156.3</v>
      </c>
      <c r="H52" s="2">
        <v>1165.8</v>
      </c>
      <c r="I52" s="2">
        <v>1153.0999999999999</v>
      </c>
      <c r="J52" s="2">
        <v>1156.2</v>
      </c>
      <c r="K52" s="2">
        <v>1162</v>
      </c>
      <c r="L52" s="2">
        <v>1162</v>
      </c>
      <c r="M52" s="2">
        <v>1161.1600000000001</v>
      </c>
      <c r="N52" s="2">
        <v>1202.8</v>
      </c>
      <c r="O52" s="2">
        <v>882.9</v>
      </c>
      <c r="P52" s="2">
        <v>1168588</v>
      </c>
      <c r="Q52" s="2">
        <v>57386</v>
      </c>
      <c r="R52" s="2">
        <f>Table1[[#This Row],[HIGH]]-Table1[[#This Row],[LOW]]</f>
        <v>12.700000000000045</v>
      </c>
    </row>
    <row r="53" spans="1:18" x14ac:dyDescent="0.35">
      <c r="A53" s="1">
        <v>45972</v>
      </c>
      <c r="B53" s="1" t="str">
        <f t="shared" si="0"/>
        <v>Tuesday</v>
      </c>
      <c r="C53" s="1" t="str">
        <f t="shared" si="1"/>
        <v>November</v>
      </c>
      <c r="D53" s="1" t="str">
        <f t="shared" si="2"/>
        <v>Q4</v>
      </c>
      <c r="E53" s="1" t="str">
        <f t="shared" si="3"/>
        <v>2025</v>
      </c>
      <c r="F53" t="s">
        <v>13</v>
      </c>
      <c r="G53" s="2">
        <v>1148</v>
      </c>
      <c r="H53" s="2">
        <v>1159</v>
      </c>
      <c r="I53" s="2">
        <v>1134</v>
      </c>
      <c r="J53" s="2">
        <v>1142.7</v>
      </c>
      <c r="K53" s="2">
        <v>1153.0999999999999</v>
      </c>
      <c r="L53" s="2">
        <v>1156.2</v>
      </c>
      <c r="M53" s="2">
        <v>1150.19</v>
      </c>
      <c r="N53" s="2">
        <v>1202.8</v>
      </c>
      <c r="O53" s="2">
        <v>882.9</v>
      </c>
      <c r="P53" s="2">
        <v>1177071</v>
      </c>
      <c r="Q53" s="2">
        <v>59237</v>
      </c>
      <c r="R53" s="2">
        <f>Table1[[#This Row],[HIGH]]-Table1[[#This Row],[LOW]]</f>
        <v>25</v>
      </c>
    </row>
    <row r="54" spans="1:18" x14ac:dyDescent="0.35">
      <c r="A54" s="1">
        <v>45971</v>
      </c>
      <c r="B54" s="1" t="str">
        <f t="shared" si="0"/>
        <v>Monday</v>
      </c>
      <c r="C54" s="1" t="str">
        <f t="shared" si="1"/>
        <v>November</v>
      </c>
      <c r="D54" s="1" t="str">
        <f t="shared" si="2"/>
        <v>Q4</v>
      </c>
      <c r="E54" s="1" t="str">
        <f t="shared" si="3"/>
        <v>2025</v>
      </c>
      <c r="F54" t="s">
        <v>13</v>
      </c>
      <c r="G54" s="2">
        <v>1167.2</v>
      </c>
      <c r="H54" s="2">
        <v>1173.8</v>
      </c>
      <c r="I54" s="2">
        <v>1138.5999999999999</v>
      </c>
      <c r="J54" s="2">
        <v>1167.2</v>
      </c>
      <c r="K54" s="2">
        <v>1141.2</v>
      </c>
      <c r="L54" s="2">
        <v>1142.7</v>
      </c>
      <c r="M54" s="2">
        <v>1152.1500000000001</v>
      </c>
      <c r="N54" s="2">
        <v>1202.8</v>
      </c>
      <c r="O54" s="2">
        <v>882.9</v>
      </c>
      <c r="P54" s="2">
        <v>1586398</v>
      </c>
      <c r="Q54" s="2">
        <v>74760</v>
      </c>
      <c r="R54" s="2">
        <f>Table1[[#This Row],[HIGH]]-Table1[[#This Row],[LOW]]</f>
        <v>35.200000000000045</v>
      </c>
    </row>
    <row r="55" spans="1:18" x14ac:dyDescent="0.35">
      <c r="A55" s="1">
        <v>45968</v>
      </c>
      <c r="B55" s="1" t="str">
        <f t="shared" si="0"/>
        <v>Friday</v>
      </c>
      <c r="C55" s="1" t="str">
        <f t="shared" si="1"/>
        <v>November</v>
      </c>
      <c r="D55" s="1" t="str">
        <f t="shared" si="2"/>
        <v>Q4</v>
      </c>
      <c r="E55" s="1" t="str">
        <f t="shared" si="3"/>
        <v>2025</v>
      </c>
      <c r="F55" t="s">
        <v>13</v>
      </c>
      <c r="G55" s="2">
        <v>1185</v>
      </c>
      <c r="H55" s="2">
        <v>1187.8</v>
      </c>
      <c r="I55" s="2">
        <v>1155.8</v>
      </c>
      <c r="J55" s="2">
        <v>1190.4000000000001</v>
      </c>
      <c r="K55" s="2">
        <v>1167</v>
      </c>
      <c r="L55" s="2">
        <v>1167.2</v>
      </c>
      <c r="M55" s="2">
        <v>1173.83</v>
      </c>
      <c r="N55" s="2">
        <v>1202.8</v>
      </c>
      <c r="O55" s="2">
        <v>882.9</v>
      </c>
      <c r="P55" s="2">
        <v>1351606</v>
      </c>
      <c r="Q55" s="2">
        <v>41091</v>
      </c>
      <c r="R55" s="2">
        <f>Table1[[#This Row],[HIGH]]-Table1[[#This Row],[LOW]]</f>
        <v>32</v>
      </c>
    </row>
    <row r="56" spans="1:18" x14ac:dyDescent="0.35">
      <c r="A56" s="1">
        <v>45967</v>
      </c>
      <c r="B56" s="1" t="str">
        <f t="shared" si="0"/>
        <v>Thursday</v>
      </c>
      <c r="C56" s="1" t="str">
        <f t="shared" si="1"/>
        <v>November</v>
      </c>
      <c r="D56" s="1" t="str">
        <f t="shared" si="2"/>
        <v>Q4</v>
      </c>
      <c r="E56" s="1" t="str">
        <f t="shared" si="3"/>
        <v>2025</v>
      </c>
      <c r="F56" t="s">
        <v>13</v>
      </c>
      <c r="G56" s="2">
        <v>1172.0999999999999</v>
      </c>
      <c r="H56" s="2">
        <v>1192.5</v>
      </c>
      <c r="I56" s="2">
        <v>1167.4000000000001</v>
      </c>
      <c r="J56" s="2">
        <v>1179.3</v>
      </c>
      <c r="K56" s="2">
        <v>1180.5</v>
      </c>
      <c r="L56" s="2">
        <v>1190.4000000000001</v>
      </c>
      <c r="M56" s="2">
        <v>1184.4100000000001</v>
      </c>
      <c r="N56" s="2">
        <v>1202.8</v>
      </c>
      <c r="O56" s="2">
        <v>882.9</v>
      </c>
      <c r="P56" s="2">
        <v>2401724</v>
      </c>
      <c r="Q56" s="2">
        <v>68778</v>
      </c>
      <c r="R56" s="2">
        <f>Table1[[#This Row],[HIGH]]-Table1[[#This Row],[LOW]]</f>
        <v>25.099999999999909</v>
      </c>
    </row>
    <row r="57" spans="1:18" x14ac:dyDescent="0.35">
      <c r="A57" s="1">
        <v>45965</v>
      </c>
      <c r="B57" s="1" t="str">
        <f t="shared" si="0"/>
        <v>Tuesday</v>
      </c>
      <c r="C57" s="1" t="str">
        <f t="shared" si="1"/>
        <v>November</v>
      </c>
      <c r="D57" s="1" t="str">
        <f t="shared" si="2"/>
        <v>Q4</v>
      </c>
      <c r="E57" s="1" t="str">
        <f t="shared" si="3"/>
        <v>2025</v>
      </c>
      <c r="F57" t="s">
        <v>13</v>
      </c>
      <c r="G57" s="2">
        <v>1199.8</v>
      </c>
      <c r="H57" s="2">
        <v>1199.8</v>
      </c>
      <c r="I57" s="2">
        <v>1138.0999999999999</v>
      </c>
      <c r="J57" s="2">
        <v>1197.5</v>
      </c>
      <c r="K57" s="2">
        <v>1177</v>
      </c>
      <c r="L57" s="2">
        <v>1179.3</v>
      </c>
      <c r="M57" s="2">
        <v>1171.25</v>
      </c>
      <c r="N57" s="2">
        <v>1202.8</v>
      </c>
      <c r="O57" s="2">
        <v>882.9</v>
      </c>
      <c r="P57" s="2">
        <v>2886618</v>
      </c>
      <c r="Q57" s="2">
        <v>83417</v>
      </c>
      <c r="R57" s="2">
        <f>Table1[[#This Row],[HIGH]]-Table1[[#This Row],[LOW]]</f>
        <v>61.700000000000045</v>
      </c>
    </row>
    <row r="58" spans="1:18" x14ac:dyDescent="0.35">
      <c r="A58" s="1">
        <v>45964</v>
      </c>
      <c r="B58" s="1" t="str">
        <f t="shared" si="0"/>
        <v>Monday</v>
      </c>
      <c r="C58" s="1" t="str">
        <f t="shared" si="1"/>
        <v>November</v>
      </c>
      <c r="D58" s="1" t="str">
        <f t="shared" si="2"/>
        <v>Q4</v>
      </c>
      <c r="E58" s="1" t="str">
        <f t="shared" si="3"/>
        <v>2025</v>
      </c>
      <c r="F58" t="s">
        <v>13</v>
      </c>
      <c r="G58" s="2">
        <v>1164.8</v>
      </c>
      <c r="H58" s="2">
        <v>1202.8</v>
      </c>
      <c r="I58" s="2">
        <v>1157.2</v>
      </c>
      <c r="J58" s="2">
        <v>1165</v>
      </c>
      <c r="K58" s="2">
        <v>1195.5</v>
      </c>
      <c r="L58" s="2">
        <v>1197.5</v>
      </c>
      <c r="M58" s="2">
        <v>1183.56</v>
      </c>
      <c r="N58" s="2">
        <v>1202.8</v>
      </c>
      <c r="O58" s="2">
        <v>882.9</v>
      </c>
      <c r="P58" s="2">
        <v>2595111</v>
      </c>
      <c r="Q58" s="2">
        <v>82337</v>
      </c>
      <c r="R58" s="2">
        <f>Table1[[#This Row],[HIGH]]-Table1[[#This Row],[LOW]]</f>
        <v>45.599999999999909</v>
      </c>
    </row>
    <row r="59" spans="1:18" x14ac:dyDescent="0.35">
      <c r="A59" s="1">
        <v>45961</v>
      </c>
      <c r="B59" s="1" t="str">
        <f t="shared" si="0"/>
        <v>Friday</v>
      </c>
      <c r="C59" s="1" t="str">
        <f t="shared" si="1"/>
        <v>October</v>
      </c>
      <c r="D59" s="1" t="str">
        <f t="shared" si="2"/>
        <v>Q4</v>
      </c>
      <c r="E59" s="1" t="str">
        <f t="shared" si="3"/>
        <v>2025</v>
      </c>
      <c r="F59" t="s">
        <v>13</v>
      </c>
      <c r="G59" s="2">
        <v>1171</v>
      </c>
      <c r="H59" s="2">
        <v>1183.5</v>
      </c>
      <c r="I59" s="2">
        <v>1157.8</v>
      </c>
      <c r="J59" s="2">
        <v>1176.5999999999999</v>
      </c>
      <c r="K59" s="2">
        <v>1163</v>
      </c>
      <c r="L59" s="2">
        <v>1165</v>
      </c>
      <c r="M59" s="2">
        <v>1167.47</v>
      </c>
      <c r="N59" s="2">
        <v>1191.2</v>
      </c>
      <c r="O59" s="2">
        <v>882.9</v>
      </c>
      <c r="P59" s="2">
        <v>749738</v>
      </c>
      <c r="Q59" s="2">
        <v>38345</v>
      </c>
      <c r="R59" s="2">
        <f>Table1[[#This Row],[HIGH]]-Table1[[#This Row],[LOW]]</f>
        <v>25.700000000000045</v>
      </c>
    </row>
    <row r="60" spans="1:18" x14ac:dyDescent="0.35">
      <c r="A60" s="1">
        <v>45960</v>
      </c>
      <c r="B60" s="1" t="str">
        <f t="shared" si="0"/>
        <v>Thursday</v>
      </c>
      <c r="C60" s="1" t="str">
        <f t="shared" si="1"/>
        <v>October</v>
      </c>
      <c r="D60" s="1" t="str">
        <f t="shared" si="2"/>
        <v>Q4</v>
      </c>
      <c r="E60" s="1" t="str">
        <f t="shared" si="3"/>
        <v>2025</v>
      </c>
      <c r="F60" t="s">
        <v>13</v>
      </c>
      <c r="G60" s="2">
        <v>1184</v>
      </c>
      <c r="H60" s="2">
        <v>1184</v>
      </c>
      <c r="I60" s="2">
        <v>1167</v>
      </c>
      <c r="J60" s="2">
        <v>1177.0999999999999</v>
      </c>
      <c r="K60" s="2">
        <v>1176</v>
      </c>
      <c r="L60" s="2">
        <v>1176.5999999999999</v>
      </c>
      <c r="M60" s="2">
        <v>1173.94</v>
      </c>
      <c r="N60" s="2">
        <v>1191.2</v>
      </c>
      <c r="O60" s="2">
        <v>882.9</v>
      </c>
      <c r="P60" s="2">
        <v>900192</v>
      </c>
      <c r="Q60" s="2">
        <v>30580</v>
      </c>
      <c r="R60" s="2">
        <f>Table1[[#This Row],[HIGH]]-Table1[[#This Row],[LOW]]</f>
        <v>17</v>
      </c>
    </row>
    <row r="61" spans="1:18" x14ac:dyDescent="0.35">
      <c r="A61" s="1">
        <v>45959</v>
      </c>
      <c r="B61" s="1" t="str">
        <f t="shared" si="0"/>
        <v>Wednesday</v>
      </c>
      <c r="C61" s="1" t="str">
        <f t="shared" si="1"/>
        <v>October</v>
      </c>
      <c r="D61" s="1" t="str">
        <f t="shared" si="2"/>
        <v>Q4</v>
      </c>
      <c r="E61" s="1" t="str">
        <f t="shared" si="3"/>
        <v>2025</v>
      </c>
      <c r="F61" t="s">
        <v>13</v>
      </c>
      <c r="G61" s="2">
        <v>1169</v>
      </c>
      <c r="H61" s="2">
        <v>1188</v>
      </c>
      <c r="I61" s="2">
        <v>1167.3</v>
      </c>
      <c r="J61" s="2">
        <v>1168.9000000000001</v>
      </c>
      <c r="K61" s="2">
        <v>1178.9000000000001</v>
      </c>
      <c r="L61" s="2">
        <v>1177.0999999999999</v>
      </c>
      <c r="M61" s="2">
        <v>1180.31</v>
      </c>
      <c r="N61" s="2">
        <v>1191.2</v>
      </c>
      <c r="O61" s="2">
        <v>882.9</v>
      </c>
      <c r="P61" s="2">
        <v>1017034</v>
      </c>
      <c r="Q61" s="2">
        <v>40333</v>
      </c>
      <c r="R61" s="2">
        <f>Table1[[#This Row],[HIGH]]-Table1[[#This Row],[LOW]]</f>
        <v>20.700000000000045</v>
      </c>
    </row>
    <row r="62" spans="1:18" x14ac:dyDescent="0.35">
      <c r="A62" s="1">
        <v>45958</v>
      </c>
      <c r="B62" s="1" t="str">
        <f t="shared" si="0"/>
        <v>Tuesday</v>
      </c>
      <c r="C62" s="1" t="str">
        <f t="shared" si="1"/>
        <v>October</v>
      </c>
      <c r="D62" s="1" t="str">
        <f t="shared" si="2"/>
        <v>Q4</v>
      </c>
      <c r="E62" s="1" t="str">
        <f t="shared" si="3"/>
        <v>2025</v>
      </c>
      <c r="F62" t="s">
        <v>13</v>
      </c>
      <c r="G62" s="2">
        <v>1169.3</v>
      </c>
      <c r="H62" s="2">
        <v>1176.4000000000001</v>
      </c>
      <c r="I62" s="2">
        <v>1157.8</v>
      </c>
      <c r="J62" s="2">
        <v>1169.9000000000001</v>
      </c>
      <c r="K62" s="2">
        <v>1165.8</v>
      </c>
      <c r="L62" s="2">
        <v>1168.9000000000001</v>
      </c>
      <c r="M62" s="2">
        <v>1167.33</v>
      </c>
      <c r="N62" s="2">
        <v>1191.2</v>
      </c>
      <c r="O62" s="2">
        <v>882.9</v>
      </c>
      <c r="P62" s="2">
        <v>842574</v>
      </c>
      <c r="Q62" s="2">
        <v>43277</v>
      </c>
      <c r="R62" s="2">
        <f>Table1[[#This Row],[HIGH]]-Table1[[#This Row],[LOW]]</f>
        <v>18.600000000000136</v>
      </c>
    </row>
    <row r="63" spans="1:18" x14ac:dyDescent="0.35">
      <c r="A63" s="1">
        <v>45957</v>
      </c>
      <c r="B63" s="1" t="str">
        <f t="shared" si="0"/>
        <v>Monday</v>
      </c>
      <c r="C63" s="1" t="str">
        <f t="shared" si="1"/>
        <v>October</v>
      </c>
      <c r="D63" s="1" t="str">
        <f t="shared" si="2"/>
        <v>Q4</v>
      </c>
      <c r="E63" s="1" t="str">
        <f t="shared" si="3"/>
        <v>2025</v>
      </c>
      <c r="F63" t="s">
        <v>13</v>
      </c>
      <c r="G63" s="2">
        <v>1155.9000000000001</v>
      </c>
      <c r="H63" s="2">
        <v>1180</v>
      </c>
      <c r="I63" s="2">
        <v>1155.9000000000001</v>
      </c>
      <c r="J63" s="2">
        <v>1155.3</v>
      </c>
      <c r="K63" s="2">
        <v>1167.0999999999999</v>
      </c>
      <c r="L63" s="2">
        <v>1169.9000000000001</v>
      </c>
      <c r="M63" s="2">
        <v>1170.72</v>
      </c>
      <c r="N63" s="2">
        <v>1191.2</v>
      </c>
      <c r="O63" s="2">
        <v>882.9</v>
      </c>
      <c r="P63" s="2">
        <v>874449</v>
      </c>
      <c r="Q63" s="2">
        <v>41813</v>
      </c>
      <c r="R63" s="2">
        <f>Table1[[#This Row],[HIGH]]-Table1[[#This Row],[LOW]]</f>
        <v>24.099999999999909</v>
      </c>
    </row>
    <row r="64" spans="1:18" x14ac:dyDescent="0.35">
      <c r="A64" s="1">
        <v>45954</v>
      </c>
      <c r="B64" s="1" t="str">
        <f t="shared" si="0"/>
        <v>Friday</v>
      </c>
      <c r="C64" s="1" t="str">
        <f t="shared" si="1"/>
        <v>October</v>
      </c>
      <c r="D64" s="1" t="str">
        <f t="shared" si="2"/>
        <v>Q4</v>
      </c>
      <c r="E64" s="1" t="str">
        <f t="shared" si="3"/>
        <v>2025</v>
      </c>
      <c r="F64" t="s">
        <v>13</v>
      </c>
      <c r="G64" s="2">
        <v>1163.3</v>
      </c>
      <c r="H64" s="2">
        <v>1163.3</v>
      </c>
      <c r="I64" s="2">
        <v>1144.4000000000001</v>
      </c>
      <c r="J64" s="2">
        <v>1161</v>
      </c>
      <c r="K64" s="2">
        <v>1154</v>
      </c>
      <c r="L64" s="2">
        <v>1155.3</v>
      </c>
      <c r="M64" s="2">
        <v>1152.29</v>
      </c>
      <c r="N64" s="2">
        <v>1191.2</v>
      </c>
      <c r="O64" s="2">
        <v>882.9</v>
      </c>
      <c r="P64" s="2">
        <v>1103267</v>
      </c>
      <c r="Q64" s="2">
        <v>33607</v>
      </c>
      <c r="R64" s="2">
        <f>Table1[[#This Row],[HIGH]]-Table1[[#This Row],[LOW]]</f>
        <v>18.899999999999864</v>
      </c>
    </row>
    <row r="65" spans="1:18" x14ac:dyDescent="0.35">
      <c r="A65" s="1">
        <v>45953</v>
      </c>
      <c r="B65" s="1" t="str">
        <f t="shared" si="0"/>
        <v>Thursday</v>
      </c>
      <c r="C65" s="1" t="str">
        <f t="shared" si="1"/>
        <v>October</v>
      </c>
      <c r="D65" s="1" t="str">
        <f t="shared" si="2"/>
        <v>Q4</v>
      </c>
      <c r="E65" s="1" t="str">
        <f t="shared" si="3"/>
        <v>2025</v>
      </c>
      <c r="F65" t="s">
        <v>13</v>
      </c>
      <c r="G65" s="2">
        <v>1174.5999999999999</v>
      </c>
      <c r="H65" s="2">
        <v>1191.2</v>
      </c>
      <c r="I65" s="2">
        <v>1158</v>
      </c>
      <c r="J65" s="2">
        <v>1174.5999999999999</v>
      </c>
      <c r="K65" s="2">
        <v>1159</v>
      </c>
      <c r="L65" s="2">
        <v>1161</v>
      </c>
      <c r="M65" s="2">
        <v>1175.05</v>
      </c>
      <c r="N65" s="2">
        <v>1191.2</v>
      </c>
      <c r="O65" s="2">
        <v>882.9</v>
      </c>
      <c r="P65" s="2">
        <v>1137414</v>
      </c>
      <c r="Q65" s="2">
        <v>35990</v>
      </c>
      <c r="R65" s="2">
        <f>Table1[[#This Row],[HIGH]]-Table1[[#This Row],[LOW]]</f>
        <v>33.200000000000045</v>
      </c>
    </row>
    <row r="66" spans="1:18" x14ac:dyDescent="0.35">
      <c r="A66" s="1">
        <v>45951</v>
      </c>
      <c r="B66" s="1" t="str">
        <f t="shared" si="0"/>
        <v>Tuesday</v>
      </c>
      <c r="C66" s="1" t="str">
        <f t="shared" si="1"/>
        <v>October</v>
      </c>
      <c r="D66" s="1" t="str">
        <f t="shared" si="2"/>
        <v>Q4</v>
      </c>
      <c r="E66" s="1" t="str">
        <f t="shared" si="3"/>
        <v>2025</v>
      </c>
      <c r="F66" t="s">
        <v>13</v>
      </c>
      <c r="G66" s="2">
        <v>1176.4000000000001</v>
      </c>
      <c r="H66" s="2">
        <v>1184.4000000000001</v>
      </c>
      <c r="I66" s="2">
        <v>1172.5</v>
      </c>
      <c r="J66" s="2">
        <v>1176.4000000000001</v>
      </c>
      <c r="K66" s="2">
        <v>1173.5</v>
      </c>
      <c r="L66" s="2">
        <v>1174.5999999999999</v>
      </c>
      <c r="M66" s="2">
        <v>1176.21</v>
      </c>
      <c r="N66" s="2">
        <v>1187.5</v>
      </c>
      <c r="O66" s="2">
        <v>882.9</v>
      </c>
      <c r="P66" s="2">
        <v>123219</v>
      </c>
      <c r="Q66" s="2">
        <v>7411</v>
      </c>
      <c r="R66" s="2">
        <f>Table1[[#This Row],[HIGH]]-Table1[[#This Row],[LOW]]</f>
        <v>11.900000000000091</v>
      </c>
    </row>
    <row r="67" spans="1:18" x14ac:dyDescent="0.35">
      <c r="A67" s="1">
        <v>45950</v>
      </c>
      <c r="B67" s="1" t="str">
        <f t="shared" ref="B67:B130" si="4">TEXT(A67,"dddd")</f>
        <v>Monday</v>
      </c>
      <c r="C67" s="1" t="str">
        <f t="shared" ref="C67:C130" si="5">TEXT(A67,"mmmm")</f>
        <v>October</v>
      </c>
      <c r="D67" s="1" t="str">
        <f t="shared" ref="D67:D130" si="6">"Q"&amp;ROUNDUP(MONTH(A67)/3,0)</f>
        <v>Q4</v>
      </c>
      <c r="E67" s="1" t="str">
        <f t="shared" ref="E67:E130" si="7">TEXT(A67,"yyyy")</f>
        <v>2025</v>
      </c>
      <c r="F67" t="s">
        <v>13</v>
      </c>
      <c r="G67" s="2">
        <v>1166.9000000000001</v>
      </c>
      <c r="H67" s="2">
        <v>1187.5</v>
      </c>
      <c r="I67" s="2">
        <v>1163.5999999999999</v>
      </c>
      <c r="J67" s="2">
        <v>1166</v>
      </c>
      <c r="K67" s="2">
        <v>1180</v>
      </c>
      <c r="L67" s="2">
        <v>1176.4000000000001</v>
      </c>
      <c r="M67" s="2">
        <v>1175.3699999999999</v>
      </c>
      <c r="N67" s="2">
        <v>1187.5</v>
      </c>
      <c r="O67" s="2">
        <v>882.9</v>
      </c>
      <c r="P67" s="2">
        <v>1751305</v>
      </c>
      <c r="Q67" s="2">
        <v>63726</v>
      </c>
      <c r="R67" s="2">
        <f>Table1[[#This Row],[HIGH]]-Table1[[#This Row],[LOW]]</f>
        <v>23.900000000000091</v>
      </c>
    </row>
    <row r="68" spans="1:18" x14ac:dyDescent="0.35">
      <c r="A68" s="1">
        <v>45947</v>
      </c>
      <c r="B68" s="1" t="str">
        <f t="shared" si="4"/>
        <v>Friday</v>
      </c>
      <c r="C68" s="1" t="str">
        <f t="shared" si="5"/>
        <v>October</v>
      </c>
      <c r="D68" s="1" t="str">
        <f t="shared" si="6"/>
        <v>Q4</v>
      </c>
      <c r="E68" s="1" t="str">
        <f t="shared" si="7"/>
        <v>2025</v>
      </c>
      <c r="F68" t="s">
        <v>13</v>
      </c>
      <c r="G68" s="2">
        <v>1152.2</v>
      </c>
      <c r="H68" s="2">
        <v>1173.5</v>
      </c>
      <c r="I68" s="2">
        <v>1142.5</v>
      </c>
      <c r="J68" s="2">
        <v>1149.3</v>
      </c>
      <c r="K68" s="2">
        <v>1165.7</v>
      </c>
      <c r="L68" s="2">
        <v>1166</v>
      </c>
      <c r="M68" s="2">
        <v>1163.5899999999999</v>
      </c>
      <c r="N68" s="2">
        <v>1180.5</v>
      </c>
      <c r="O68" s="2">
        <v>882.9</v>
      </c>
      <c r="P68" s="2">
        <v>2001759</v>
      </c>
      <c r="Q68" s="2">
        <v>55993</v>
      </c>
      <c r="R68" s="2">
        <f>Table1[[#This Row],[HIGH]]-Table1[[#This Row],[LOW]]</f>
        <v>31</v>
      </c>
    </row>
    <row r="69" spans="1:18" x14ac:dyDescent="0.35">
      <c r="A69" s="1">
        <v>45946</v>
      </c>
      <c r="B69" s="1" t="str">
        <f t="shared" si="4"/>
        <v>Thursday</v>
      </c>
      <c r="C69" s="1" t="str">
        <f t="shared" si="5"/>
        <v>October</v>
      </c>
      <c r="D69" s="1" t="str">
        <f t="shared" si="6"/>
        <v>Q4</v>
      </c>
      <c r="E69" s="1" t="str">
        <f t="shared" si="7"/>
        <v>2025</v>
      </c>
      <c r="F69" t="s">
        <v>13</v>
      </c>
      <c r="G69" s="2">
        <v>1114.2</v>
      </c>
      <c r="H69" s="2">
        <v>1154.2</v>
      </c>
      <c r="I69" s="2">
        <v>1109</v>
      </c>
      <c r="J69" s="2">
        <v>1114.2</v>
      </c>
      <c r="K69" s="2">
        <v>1148.7</v>
      </c>
      <c r="L69" s="2">
        <v>1149.3</v>
      </c>
      <c r="M69" s="2">
        <v>1130.57</v>
      </c>
      <c r="N69" s="2">
        <v>1180.5</v>
      </c>
      <c r="O69" s="2">
        <v>882.9</v>
      </c>
      <c r="P69" s="2">
        <v>2383412</v>
      </c>
      <c r="Q69" s="2">
        <v>58490</v>
      </c>
      <c r="R69" s="2">
        <f>Table1[[#This Row],[HIGH]]-Table1[[#This Row],[LOW]]</f>
        <v>45.200000000000045</v>
      </c>
    </row>
    <row r="70" spans="1:18" x14ac:dyDescent="0.35">
      <c r="A70" s="1">
        <v>45945</v>
      </c>
      <c r="B70" s="1" t="str">
        <f t="shared" si="4"/>
        <v>Wednesday</v>
      </c>
      <c r="C70" s="1" t="str">
        <f t="shared" si="5"/>
        <v>October</v>
      </c>
      <c r="D70" s="1" t="str">
        <f t="shared" si="6"/>
        <v>Q4</v>
      </c>
      <c r="E70" s="1" t="str">
        <f t="shared" si="7"/>
        <v>2025</v>
      </c>
      <c r="F70" t="s">
        <v>13</v>
      </c>
      <c r="G70" s="2">
        <v>1118.9000000000001</v>
      </c>
      <c r="H70" s="2">
        <v>1122.0999999999999</v>
      </c>
      <c r="I70" s="2">
        <v>1112.2</v>
      </c>
      <c r="J70" s="2">
        <v>1118.9000000000001</v>
      </c>
      <c r="K70" s="2">
        <v>1112.2</v>
      </c>
      <c r="L70" s="2">
        <v>1114.2</v>
      </c>
      <c r="M70" s="2">
        <v>1117.1600000000001</v>
      </c>
      <c r="N70" s="2">
        <v>1180.5</v>
      </c>
      <c r="O70" s="2">
        <v>882.9</v>
      </c>
      <c r="P70" s="2">
        <v>1299596</v>
      </c>
      <c r="Q70" s="2">
        <v>39894</v>
      </c>
      <c r="R70" s="2">
        <f>Table1[[#This Row],[HIGH]]-Table1[[#This Row],[LOW]]</f>
        <v>9.8999999999998636</v>
      </c>
    </row>
    <row r="71" spans="1:18" x14ac:dyDescent="0.35">
      <c r="A71" s="1">
        <v>45944</v>
      </c>
      <c r="B71" s="1" t="str">
        <f t="shared" si="4"/>
        <v>Tuesday</v>
      </c>
      <c r="C71" s="1" t="str">
        <f t="shared" si="5"/>
        <v>October</v>
      </c>
      <c r="D71" s="1" t="str">
        <f t="shared" si="6"/>
        <v>Q4</v>
      </c>
      <c r="E71" s="1" t="str">
        <f t="shared" si="7"/>
        <v>2025</v>
      </c>
      <c r="F71" t="s">
        <v>13</v>
      </c>
      <c r="G71" s="2">
        <v>1115</v>
      </c>
      <c r="H71" s="2">
        <v>1124.5</v>
      </c>
      <c r="I71" s="2">
        <v>1110.7</v>
      </c>
      <c r="J71" s="2">
        <v>1117</v>
      </c>
      <c r="K71" s="2">
        <v>1113.0999999999999</v>
      </c>
      <c r="L71" s="2">
        <v>1118.9000000000001</v>
      </c>
      <c r="M71" s="2">
        <v>1117.1400000000001</v>
      </c>
      <c r="N71" s="2">
        <v>1180.5</v>
      </c>
      <c r="O71" s="2">
        <v>882.9</v>
      </c>
      <c r="P71" s="2">
        <v>1033610</v>
      </c>
      <c r="Q71" s="2">
        <v>43253</v>
      </c>
      <c r="R71" s="2">
        <f>Table1[[#This Row],[HIGH]]-Table1[[#This Row],[LOW]]</f>
        <v>13.799999999999955</v>
      </c>
    </row>
    <row r="72" spans="1:18" x14ac:dyDescent="0.35">
      <c r="A72" s="1">
        <v>45943</v>
      </c>
      <c r="B72" s="1" t="str">
        <f t="shared" si="4"/>
        <v>Monday</v>
      </c>
      <c r="C72" s="1" t="str">
        <f t="shared" si="5"/>
        <v>October</v>
      </c>
      <c r="D72" s="1" t="str">
        <f t="shared" si="6"/>
        <v>Q4</v>
      </c>
      <c r="E72" s="1" t="str">
        <f t="shared" si="7"/>
        <v>2025</v>
      </c>
      <c r="F72" t="s">
        <v>13</v>
      </c>
      <c r="G72" s="2">
        <v>1120</v>
      </c>
      <c r="H72" s="2">
        <v>1132.4000000000001</v>
      </c>
      <c r="I72" s="2">
        <v>1112.5</v>
      </c>
      <c r="J72" s="2">
        <v>1126.5</v>
      </c>
      <c r="K72" s="2">
        <v>1115.5</v>
      </c>
      <c r="L72" s="2">
        <v>1117</v>
      </c>
      <c r="M72" s="2">
        <v>1121.3599999999999</v>
      </c>
      <c r="N72" s="2">
        <v>1180.5</v>
      </c>
      <c r="O72" s="2">
        <v>882.9</v>
      </c>
      <c r="P72" s="2">
        <v>832628</v>
      </c>
      <c r="Q72" s="2">
        <v>25556</v>
      </c>
      <c r="R72" s="2">
        <f>Table1[[#This Row],[HIGH]]-Table1[[#This Row],[LOW]]</f>
        <v>19.900000000000091</v>
      </c>
    </row>
    <row r="73" spans="1:18" x14ac:dyDescent="0.35">
      <c r="A73" s="1">
        <v>45940</v>
      </c>
      <c r="B73" s="1" t="str">
        <f t="shared" si="4"/>
        <v>Friday</v>
      </c>
      <c r="C73" s="1" t="str">
        <f t="shared" si="5"/>
        <v>October</v>
      </c>
      <c r="D73" s="1" t="str">
        <f t="shared" si="6"/>
        <v>Q4</v>
      </c>
      <c r="E73" s="1" t="str">
        <f t="shared" si="7"/>
        <v>2025</v>
      </c>
      <c r="F73" t="s">
        <v>13</v>
      </c>
      <c r="G73" s="2">
        <v>1116</v>
      </c>
      <c r="H73" s="2">
        <v>1131.4000000000001</v>
      </c>
      <c r="I73" s="2">
        <v>1108.4000000000001</v>
      </c>
      <c r="J73" s="2">
        <v>1118</v>
      </c>
      <c r="K73" s="2">
        <v>1125.0999999999999</v>
      </c>
      <c r="L73" s="2">
        <v>1126.5</v>
      </c>
      <c r="M73" s="2">
        <v>1123.1400000000001</v>
      </c>
      <c r="N73" s="2">
        <v>1180.5</v>
      </c>
      <c r="O73" s="2">
        <v>882.9</v>
      </c>
      <c r="P73" s="2">
        <v>982270</v>
      </c>
      <c r="Q73" s="2">
        <v>34286</v>
      </c>
      <c r="R73" s="2">
        <f>Table1[[#This Row],[HIGH]]-Table1[[#This Row],[LOW]]</f>
        <v>23</v>
      </c>
    </row>
    <row r="74" spans="1:18" x14ac:dyDescent="0.35">
      <c r="A74" s="1">
        <v>45939</v>
      </c>
      <c r="B74" s="1" t="str">
        <f t="shared" si="4"/>
        <v>Thursday</v>
      </c>
      <c r="C74" s="1" t="str">
        <f t="shared" si="5"/>
        <v>October</v>
      </c>
      <c r="D74" s="1" t="str">
        <f t="shared" si="6"/>
        <v>Q4</v>
      </c>
      <c r="E74" s="1" t="str">
        <f t="shared" si="7"/>
        <v>2025</v>
      </c>
      <c r="F74" t="s">
        <v>13</v>
      </c>
      <c r="G74" s="2">
        <v>1117</v>
      </c>
      <c r="H74" s="2">
        <v>1124.4000000000001</v>
      </c>
      <c r="I74" s="2">
        <v>1114.5</v>
      </c>
      <c r="J74" s="2">
        <v>1120.2</v>
      </c>
      <c r="K74" s="2">
        <v>1115</v>
      </c>
      <c r="L74" s="2">
        <v>1118</v>
      </c>
      <c r="M74" s="2">
        <v>1119.3699999999999</v>
      </c>
      <c r="N74" s="2">
        <v>1180.5</v>
      </c>
      <c r="O74" s="2">
        <v>882.9</v>
      </c>
      <c r="P74" s="2">
        <v>852898</v>
      </c>
      <c r="Q74" s="2">
        <v>28967</v>
      </c>
      <c r="R74" s="2">
        <f>Table1[[#This Row],[HIGH]]-Table1[[#This Row],[LOW]]</f>
        <v>9.9000000000000909</v>
      </c>
    </row>
    <row r="75" spans="1:18" x14ac:dyDescent="0.35">
      <c r="A75" s="1">
        <v>45938</v>
      </c>
      <c r="B75" s="1" t="str">
        <f t="shared" si="4"/>
        <v>Wednesday</v>
      </c>
      <c r="C75" s="1" t="str">
        <f t="shared" si="5"/>
        <v>October</v>
      </c>
      <c r="D75" s="1" t="str">
        <f t="shared" si="6"/>
        <v>Q4</v>
      </c>
      <c r="E75" s="1" t="str">
        <f t="shared" si="7"/>
        <v>2025</v>
      </c>
      <c r="F75" t="s">
        <v>13</v>
      </c>
      <c r="G75" s="2">
        <v>1112</v>
      </c>
      <c r="H75" s="2">
        <v>1126.7</v>
      </c>
      <c r="I75" s="2">
        <v>1110</v>
      </c>
      <c r="J75" s="2">
        <v>1120</v>
      </c>
      <c r="K75" s="2">
        <v>1120</v>
      </c>
      <c r="L75" s="2">
        <v>1120.2</v>
      </c>
      <c r="M75" s="2">
        <v>1120.56</v>
      </c>
      <c r="N75" s="2">
        <v>1180.5</v>
      </c>
      <c r="O75" s="2">
        <v>882.9</v>
      </c>
      <c r="P75" s="2">
        <v>963508</v>
      </c>
      <c r="Q75" s="2">
        <v>33789</v>
      </c>
      <c r="R75" s="2">
        <f>Table1[[#This Row],[HIGH]]-Table1[[#This Row],[LOW]]</f>
        <v>16.700000000000045</v>
      </c>
    </row>
    <row r="76" spans="1:18" x14ac:dyDescent="0.35">
      <c r="A76" s="1">
        <v>45937</v>
      </c>
      <c r="B76" s="1" t="str">
        <f t="shared" si="4"/>
        <v>Tuesday</v>
      </c>
      <c r="C76" s="1" t="str">
        <f t="shared" si="5"/>
        <v>October</v>
      </c>
      <c r="D76" s="1" t="str">
        <f t="shared" si="6"/>
        <v>Q4</v>
      </c>
      <c r="E76" s="1" t="str">
        <f t="shared" si="7"/>
        <v>2025</v>
      </c>
      <c r="F76" t="s">
        <v>13</v>
      </c>
      <c r="G76" s="2">
        <v>1136.4000000000001</v>
      </c>
      <c r="H76" s="2">
        <v>1144.9000000000001</v>
      </c>
      <c r="I76" s="2">
        <v>1115.3</v>
      </c>
      <c r="J76" s="2">
        <v>1142.0999999999999</v>
      </c>
      <c r="K76" s="2">
        <v>1123.9000000000001</v>
      </c>
      <c r="L76" s="2">
        <v>1120</v>
      </c>
      <c r="M76" s="2">
        <v>1126.6600000000001</v>
      </c>
      <c r="N76" s="2">
        <v>1180.5</v>
      </c>
      <c r="O76" s="2">
        <v>882.9</v>
      </c>
      <c r="P76" s="2">
        <v>1354474</v>
      </c>
      <c r="Q76" s="2">
        <v>50177</v>
      </c>
      <c r="R76" s="2">
        <f>Table1[[#This Row],[HIGH]]-Table1[[#This Row],[LOW]]</f>
        <v>29.600000000000136</v>
      </c>
    </row>
    <row r="77" spans="1:18" x14ac:dyDescent="0.35">
      <c r="A77" s="1">
        <v>45936</v>
      </c>
      <c r="B77" s="1" t="str">
        <f t="shared" si="4"/>
        <v>Monday</v>
      </c>
      <c r="C77" s="1" t="str">
        <f t="shared" si="5"/>
        <v>October</v>
      </c>
      <c r="D77" s="1" t="str">
        <f t="shared" si="6"/>
        <v>Q4</v>
      </c>
      <c r="E77" s="1" t="str">
        <f t="shared" si="7"/>
        <v>2025</v>
      </c>
      <c r="F77" t="s">
        <v>13</v>
      </c>
      <c r="G77" s="2">
        <v>1133</v>
      </c>
      <c r="H77" s="2">
        <v>1152</v>
      </c>
      <c r="I77" s="2">
        <v>1132.3</v>
      </c>
      <c r="J77" s="2">
        <v>1137.5</v>
      </c>
      <c r="K77" s="2">
        <v>1139.5</v>
      </c>
      <c r="L77" s="2">
        <v>1142.0999999999999</v>
      </c>
      <c r="M77" s="2">
        <v>1139.0999999999999</v>
      </c>
      <c r="N77" s="2">
        <v>1180.5</v>
      </c>
      <c r="O77" s="2">
        <v>882.9</v>
      </c>
      <c r="P77" s="2">
        <v>1472109</v>
      </c>
      <c r="Q77" s="2">
        <v>30065</v>
      </c>
      <c r="R77" s="2">
        <f>Table1[[#This Row],[HIGH]]-Table1[[#This Row],[LOW]]</f>
        <v>19.700000000000045</v>
      </c>
    </row>
    <row r="78" spans="1:18" x14ac:dyDescent="0.35">
      <c r="A78" s="1">
        <v>45933</v>
      </c>
      <c r="B78" s="1" t="str">
        <f t="shared" si="4"/>
        <v>Friday</v>
      </c>
      <c r="C78" s="1" t="str">
        <f t="shared" si="5"/>
        <v>October</v>
      </c>
      <c r="D78" s="1" t="str">
        <f t="shared" si="6"/>
        <v>Q4</v>
      </c>
      <c r="E78" s="1" t="str">
        <f t="shared" si="7"/>
        <v>2025</v>
      </c>
      <c r="F78" t="s">
        <v>13</v>
      </c>
      <c r="G78" s="2">
        <v>1146</v>
      </c>
      <c r="H78" s="2">
        <v>1150</v>
      </c>
      <c r="I78" s="2">
        <v>1129.0999999999999</v>
      </c>
      <c r="J78" s="2">
        <v>1144.8</v>
      </c>
      <c r="K78" s="2">
        <v>1138.5</v>
      </c>
      <c r="L78" s="2">
        <v>1137.5</v>
      </c>
      <c r="M78" s="2">
        <v>1136.1600000000001</v>
      </c>
      <c r="N78" s="2">
        <v>1213.6500000000001</v>
      </c>
      <c r="O78" s="2">
        <v>882.9</v>
      </c>
      <c r="P78" s="2">
        <v>1567152</v>
      </c>
      <c r="Q78" s="2">
        <v>39189</v>
      </c>
      <c r="R78" s="2">
        <f>Table1[[#This Row],[HIGH]]-Table1[[#This Row],[LOW]]</f>
        <v>20.900000000000091</v>
      </c>
    </row>
    <row r="79" spans="1:18" x14ac:dyDescent="0.35">
      <c r="A79" s="1">
        <v>45931</v>
      </c>
      <c r="B79" s="1" t="str">
        <f t="shared" si="4"/>
        <v>Wednesday</v>
      </c>
      <c r="C79" s="1" t="str">
        <f t="shared" si="5"/>
        <v>October</v>
      </c>
      <c r="D79" s="1" t="str">
        <f t="shared" si="6"/>
        <v>Q4</v>
      </c>
      <c r="E79" s="1" t="str">
        <f t="shared" si="7"/>
        <v>2025</v>
      </c>
      <c r="F79" t="s">
        <v>13</v>
      </c>
      <c r="G79" s="2">
        <v>1129.0999999999999</v>
      </c>
      <c r="H79" s="2">
        <v>1149.8</v>
      </c>
      <c r="I79" s="2">
        <v>1122.0999999999999</v>
      </c>
      <c r="J79" s="2">
        <v>1129.3</v>
      </c>
      <c r="K79" s="2">
        <v>1143</v>
      </c>
      <c r="L79" s="2">
        <v>1144.8</v>
      </c>
      <c r="M79" s="2">
        <v>1140.7</v>
      </c>
      <c r="N79" s="2">
        <v>1213.6500000000001</v>
      </c>
      <c r="O79" s="2">
        <v>882.9</v>
      </c>
      <c r="P79" s="2">
        <v>789835</v>
      </c>
      <c r="Q79" s="2">
        <v>33712</v>
      </c>
      <c r="R79" s="2">
        <f>Table1[[#This Row],[HIGH]]-Table1[[#This Row],[LOW]]</f>
        <v>27.700000000000045</v>
      </c>
    </row>
    <row r="80" spans="1:18" x14ac:dyDescent="0.35">
      <c r="A80" s="1">
        <v>45930</v>
      </c>
      <c r="B80" s="1" t="str">
        <f t="shared" si="4"/>
        <v>Tuesday</v>
      </c>
      <c r="C80" s="1" t="str">
        <f t="shared" si="5"/>
        <v>September</v>
      </c>
      <c r="D80" s="1" t="str">
        <f t="shared" si="6"/>
        <v>Q3</v>
      </c>
      <c r="E80" s="1" t="str">
        <f t="shared" si="7"/>
        <v>2025</v>
      </c>
      <c r="F80" t="s">
        <v>13</v>
      </c>
      <c r="G80" s="2">
        <v>1123</v>
      </c>
      <c r="H80" s="2">
        <v>1133.2</v>
      </c>
      <c r="I80" s="2">
        <v>1114</v>
      </c>
      <c r="J80" s="2">
        <v>1123.0999999999999</v>
      </c>
      <c r="K80" s="2">
        <v>1132.5</v>
      </c>
      <c r="L80" s="2">
        <v>1129.3</v>
      </c>
      <c r="M80" s="2">
        <v>1126.6500000000001</v>
      </c>
      <c r="N80" s="2">
        <v>1213.6500000000001</v>
      </c>
      <c r="O80" s="2">
        <v>882.9</v>
      </c>
      <c r="P80" s="2">
        <v>1377509</v>
      </c>
      <c r="Q80" s="2">
        <v>57927</v>
      </c>
      <c r="R80" s="2">
        <f>Table1[[#This Row],[HIGH]]-Table1[[#This Row],[LOW]]</f>
        <v>19.200000000000045</v>
      </c>
    </row>
    <row r="81" spans="1:18" x14ac:dyDescent="0.35">
      <c r="A81" s="1">
        <v>45929</v>
      </c>
      <c r="B81" s="1" t="str">
        <f t="shared" si="4"/>
        <v>Monday</v>
      </c>
      <c r="C81" s="1" t="str">
        <f t="shared" si="5"/>
        <v>September</v>
      </c>
      <c r="D81" s="1" t="str">
        <f t="shared" si="6"/>
        <v>Q3</v>
      </c>
      <c r="E81" s="1" t="str">
        <f t="shared" si="7"/>
        <v>2025</v>
      </c>
      <c r="F81" t="s">
        <v>13</v>
      </c>
      <c r="G81" s="2">
        <v>1119</v>
      </c>
      <c r="H81" s="2">
        <v>1130.4000000000001</v>
      </c>
      <c r="I81" s="2">
        <v>1103</v>
      </c>
      <c r="J81" s="2">
        <v>1119</v>
      </c>
      <c r="K81" s="2">
        <v>1125</v>
      </c>
      <c r="L81" s="2">
        <v>1123.0999999999999</v>
      </c>
      <c r="M81" s="2">
        <v>1118.46</v>
      </c>
      <c r="N81" s="2">
        <v>1213.6500000000001</v>
      </c>
      <c r="O81" s="2">
        <v>882.9</v>
      </c>
      <c r="P81" s="2">
        <v>1372491</v>
      </c>
      <c r="Q81" s="2">
        <v>66418</v>
      </c>
      <c r="R81" s="2">
        <f>Table1[[#This Row],[HIGH]]-Table1[[#This Row],[LOW]]</f>
        <v>27.400000000000091</v>
      </c>
    </row>
    <row r="82" spans="1:18" x14ac:dyDescent="0.35">
      <c r="A82" s="1">
        <v>45926</v>
      </c>
      <c r="B82" s="1" t="str">
        <f t="shared" si="4"/>
        <v>Friday</v>
      </c>
      <c r="C82" s="1" t="str">
        <f t="shared" si="5"/>
        <v>September</v>
      </c>
      <c r="D82" s="1" t="str">
        <f t="shared" si="6"/>
        <v>Q3</v>
      </c>
      <c r="E82" s="1" t="str">
        <f t="shared" si="7"/>
        <v>2025</v>
      </c>
      <c r="F82" t="s">
        <v>13</v>
      </c>
      <c r="G82" s="2">
        <v>1126</v>
      </c>
      <c r="H82" s="2">
        <v>1136.9000000000001</v>
      </c>
      <c r="I82" s="2">
        <v>1117.2</v>
      </c>
      <c r="J82" s="2">
        <v>1134.2</v>
      </c>
      <c r="K82" s="2">
        <v>1120</v>
      </c>
      <c r="L82" s="2">
        <v>1119</v>
      </c>
      <c r="M82" s="2">
        <v>1125.25</v>
      </c>
      <c r="N82" s="2">
        <v>1233.6500000000001</v>
      </c>
      <c r="O82" s="2">
        <v>882.9</v>
      </c>
      <c r="P82" s="2">
        <v>565909</v>
      </c>
      <c r="Q82" s="2">
        <v>34930</v>
      </c>
      <c r="R82" s="2">
        <f>Table1[[#This Row],[HIGH]]-Table1[[#This Row],[LOW]]</f>
        <v>19.700000000000045</v>
      </c>
    </row>
    <row r="83" spans="1:18" x14ac:dyDescent="0.35">
      <c r="A83" s="1">
        <v>45925</v>
      </c>
      <c r="B83" s="1" t="str">
        <f t="shared" si="4"/>
        <v>Thursday</v>
      </c>
      <c r="C83" s="1" t="str">
        <f t="shared" si="5"/>
        <v>September</v>
      </c>
      <c r="D83" s="1" t="str">
        <f t="shared" si="6"/>
        <v>Q3</v>
      </c>
      <c r="E83" s="1" t="str">
        <f t="shared" si="7"/>
        <v>2025</v>
      </c>
      <c r="F83" t="s">
        <v>13</v>
      </c>
      <c r="G83" s="2">
        <v>1145</v>
      </c>
      <c r="H83" s="2">
        <v>1146.5</v>
      </c>
      <c r="I83" s="2">
        <v>1127.5999999999999</v>
      </c>
      <c r="J83" s="2">
        <v>1140.0999999999999</v>
      </c>
      <c r="K83" s="2">
        <v>1135</v>
      </c>
      <c r="L83" s="2">
        <v>1134.2</v>
      </c>
      <c r="M83" s="2">
        <v>1135.1400000000001</v>
      </c>
      <c r="N83" s="2">
        <v>1233.6500000000001</v>
      </c>
      <c r="O83" s="2">
        <v>882.9</v>
      </c>
      <c r="P83" s="2">
        <v>1023970</v>
      </c>
      <c r="Q83" s="2">
        <v>38689</v>
      </c>
      <c r="R83" s="2">
        <f>Table1[[#This Row],[HIGH]]-Table1[[#This Row],[LOW]]</f>
        <v>18.900000000000091</v>
      </c>
    </row>
    <row r="84" spans="1:18" x14ac:dyDescent="0.35">
      <c r="A84" s="1">
        <v>45924</v>
      </c>
      <c r="B84" s="1" t="str">
        <f t="shared" si="4"/>
        <v>Wednesday</v>
      </c>
      <c r="C84" s="1" t="str">
        <f t="shared" si="5"/>
        <v>September</v>
      </c>
      <c r="D84" s="1" t="str">
        <f t="shared" si="6"/>
        <v>Q3</v>
      </c>
      <c r="E84" s="1" t="str">
        <f t="shared" si="7"/>
        <v>2025</v>
      </c>
      <c r="F84" t="s">
        <v>13</v>
      </c>
      <c r="G84" s="2">
        <v>1125</v>
      </c>
      <c r="H84" s="2">
        <v>1147.0999999999999</v>
      </c>
      <c r="I84" s="2">
        <v>1118.4000000000001</v>
      </c>
      <c r="J84" s="2">
        <v>1128.5</v>
      </c>
      <c r="K84" s="2">
        <v>1137.5</v>
      </c>
      <c r="L84" s="2">
        <v>1140.0999999999999</v>
      </c>
      <c r="M84" s="2">
        <v>1136.82</v>
      </c>
      <c r="N84" s="2">
        <v>1233.6500000000001</v>
      </c>
      <c r="O84" s="2">
        <v>882.9</v>
      </c>
      <c r="P84" s="2">
        <v>1100753</v>
      </c>
      <c r="Q84" s="2">
        <v>43549</v>
      </c>
      <c r="R84" s="2">
        <f>Table1[[#This Row],[HIGH]]-Table1[[#This Row],[LOW]]</f>
        <v>28.699999999999818</v>
      </c>
    </row>
    <row r="85" spans="1:18" x14ac:dyDescent="0.35">
      <c r="A85" s="1">
        <v>45923</v>
      </c>
      <c r="B85" s="1" t="str">
        <f t="shared" si="4"/>
        <v>Tuesday</v>
      </c>
      <c r="C85" s="1" t="str">
        <f t="shared" si="5"/>
        <v>September</v>
      </c>
      <c r="D85" s="1" t="str">
        <f t="shared" si="6"/>
        <v>Q3</v>
      </c>
      <c r="E85" s="1" t="str">
        <f t="shared" si="7"/>
        <v>2025</v>
      </c>
      <c r="F85" t="s">
        <v>13</v>
      </c>
      <c r="G85" s="2">
        <v>1131</v>
      </c>
      <c r="H85" s="2">
        <v>1134.5999999999999</v>
      </c>
      <c r="I85" s="2">
        <v>1118.4000000000001</v>
      </c>
      <c r="J85" s="2">
        <v>1130.0999999999999</v>
      </c>
      <c r="K85" s="2">
        <v>1128.4000000000001</v>
      </c>
      <c r="L85" s="2">
        <v>1128.5</v>
      </c>
      <c r="M85" s="2">
        <v>1127.26</v>
      </c>
      <c r="N85" s="2">
        <v>1233.6500000000001</v>
      </c>
      <c r="O85" s="2">
        <v>882.9</v>
      </c>
      <c r="P85" s="2">
        <v>1082761</v>
      </c>
      <c r="Q85" s="2">
        <v>41242</v>
      </c>
      <c r="R85" s="2">
        <f>Table1[[#This Row],[HIGH]]-Table1[[#This Row],[LOW]]</f>
        <v>16.199999999999818</v>
      </c>
    </row>
    <row r="86" spans="1:18" x14ac:dyDescent="0.35">
      <c r="A86" s="1">
        <v>45922</v>
      </c>
      <c r="B86" s="1" t="str">
        <f t="shared" si="4"/>
        <v>Monday</v>
      </c>
      <c r="C86" s="1" t="str">
        <f t="shared" si="5"/>
        <v>September</v>
      </c>
      <c r="D86" s="1" t="str">
        <f t="shared" si="6"/>
        <v>Q3</v>
      </c>
      <c r="E86" s="1" t="str">
        <f t="shared" si="7"/>
        <v>2025</v>
      </c>
      <c r="F86" t="s">
        <v>13</v>
      </c>
      <c r="G86" s="2">
        <v>1120</v>
      </c>
      <c r="H86" s="2">
        <v>1136.8</v>
      </c>
      <c r="I86" s="2">
        <v>1119.9000000000001</v>
      </c>
      <c r="J86" s="2">
        <v>1126.8</v>
      </c>
      <c r="K86" s="2">
        <v>1131</v>
      </c>
      <c r="L86" s="2">
        <v>1130.0999999999999</v>
      </c>
      <c r="M86" s="2">
        <v>1129.9100000000001</v>
      </c>
      <c r="N86" s="2">
        <v>1233.6500000000001</v>
      </c>
      <c r="O86" s="2">
        <v>882.9</v>
      </c>
      <c r="P86" s="2">
        <v>701996</v>
      </c>
      <c r="Q86" s="2">
        <v>40969</v>
      </c>
      <c r="R86" s="2">
        <f>Table1[[#This Row],[HIGH]]-Table1[[#This Row],[LOW]]</f>
        <v>16.899999999999864</v>
      </c>
    </row>
    <row r="87" spans="1:18" x14ac:dyDescent="0.35">
      <c r="A87" s="1">
        <v>45919</v>
      </c>
      <c r="B87" s="1" t="str">
        <f t="shared" si="4"/>
        <v>Friday</v>
      </c>
      <c r="C87" s="1" t="str">
        <f t="shared" si="5"/>
        <v>September</v>
      </c>
      <c r="D87" s="1" t="str">
        <f t="shared" si="6"/>
        <v>Q3</v>
      </c>
      <c r="E87" s="1" t="str">
        <f t="shared" si="7"/>
        <v>2025</v>
      </c>
      <c r="F87" t="s">
        <v>13</v>
      </c>
      <c r="G87" s="2">
        <v>1128.5</v>
      </c>
      <c r="H87" s="2">
        <v>1132.5999999999999</v>
      </c>
      <c r="I87" s="2">
        <v>1114.4000000000001</v>
      </c>
      <c r="J87" s="2">
        <v>1129.3</v>
      </c>
      <c r="K87" s="2">
        <v>1128.7</v>
      </c>
      <c r="L87" s="2">
        <v>1126.8</v>
      </c>
      <c r="M87" s="2">
        <v>1124.8</v>
      </c>
      <c r="N87" s="2">
        <v>1234.3</v>
      </c>
      <c r="O87" s="2">
        <v>882.9</v>
      </c>
      <c r="P87" s="2">
        <v>1438338</v>
      </c>
      <c r="Q87" s="2">
        <v>40683</v>
      </c>
      <c r="R87" s="2">
        <f>Table1[[#This Row],[HIGH]]-Table1[[#This Row],[LOW]]</f>
        <v>18.199999999999818</v>
      </c>
    </row>
    <row r="88" spans="1:18" x14ac:dyDescent="0.35">
      <c r="A88" s="1">
        <v>45918</v>
      </c>
      <c r="B88" s="1" t="str">
        <f t="shared" si="4"/>
        <v>Thursday</v>
      </c>
      <c r="C88" s="1" t="str">
        <f t="shared" si="5"/>
        <v>September</v>
      </c>
      <c r="D88" s="1" t="str">
        <f t="shared" si="6"/>
        <v>Q3</v>
      </c>
      <c r="E88" s="1" t="str">
        <f t="shared" si="7"/>
        <v>2025</v>
      </c>
      <c r="F88" t="s">
        <v>13</v>
      </c>
      <c r="G88" s="2">
        <v>1136.3</v>
      </c>
      <c r="H88" s="2">
        <v>1144.4000000000001</v>
      </c>
      <c r="I88" s="2">
        <v>1123</v>
      </c>
      <c r="J88" s="2">
        <v>1136.3</v>
      </c>
      <c r="K88" s="2">
        <v>1128.5</v>
      </c>
      <c r="L88" s="2">
        <v>1129.3</v>
      </c>
      <c r="M88" s="2">
        <v>1131.3499999999999</v>
      </c>
      <c r="N88" s="2">
        <v>1234.3</v>
      </c>
      <c r="O88" s="2">
        <v>882.9</v>
      </c>
      <c r="P88" s="2">
        <v>1030976</v>
      </c>
      <c r="Q88" s="2">
        <v>40792</v>
      </c>
      <c r="R88" s="2">
        <f>Table1[[#This Row],[HIGH]]-Table1[[#This Row],[LOW]]</f>
        <v>21.400000000000091</v>
      </c>
    </row>
    <row r="89" spans="1:18" x14ac:dyDescent="0.35">
      <c r="A89" s="1">
        <v>45917</v>
      </c>
      <c r="B89" s="1" t="str">
        <f t="shared" si="4"/>
        <v>Wednesday</v>
      </c>
      <c r="C89" s="1" t="str">
        <f t="shared" si="5"/>
        <v>September</v>
      </c>
      <c r="D89" s="1" t="str">
        <f t="shared" si="6"/>
        <v>Q3</v>
      </c>
      <c r="E89" s="1" t="str">
        <f t="shared" si="7"/>
        <v>2025</v>
      </c>
      <c r="F89" t="s">
        <v>13</v>
      </c>
      <c r="G89" s="2">
        <v>1103.0999999999999</v>
      </c>
      <c r="H89" s="2">
        <v>1138.8</v>
      </c>
      <c r="I89" s="2">
        <v>1103.0999999999999</v>
      </c>
      <c r="J89" s="2">
        <v>1092.0999999999999</v>
      </c>
      <c r="K89" s="2">
        <v>1135.7</v>
      </c>
      <c r="L89" s="2">
        <v>1136.3</v>
      </c>
      <c r="M89" s="2">
        <v>1127.25</v>
      </c>
      <c r="N89" s="2">
        <v>1234.3</v>
      </c>
      <c r="O89" s="2">
        <v>882.9</v>
      </c>
      <c r="P89" s="2">
        <v>3361334</v>
      </c>
      <c r="Q89" s="2">
        <v>116240</v>
      </c>
      <c r="R89" s="2">
        <f>Table1[[#This Row],[HIGH]]-Table1[[#This Row],[LOW]]</f>
        <v>35.700000000000045</v>
      </c>
    </row>
    <row r="90" spans="1:18" x14ac:dyDescent="0.35">
      <c r="A90" s="1">
        <v>45916</v>
      </c>
      <c r="B90" s="1" t="str">
        <f t="shared" si="4"/>
        <v>Tuesday</v>
      </c>
      <c r="C90" s="1" t="str">
        <f t="shared" si="5"/>
        <v>September</v>
      </c>
      <c r="D90" s="1" t="str">
        <f t="shared" si="6"/>
        <v>Q3</v>
      </c>
      <c r="E90" s="1" t="str">
        <f t="shared" si="7"/>
        <v>2025</v>
      </c>
      <c r="F90" t="s">
        <v>13</v>
      </c>
      <c r="G90" s="2">
        <v>1103</v>
      </c>
      <c r="H90" s="2">
        <v>1105.4000000000001</v>
      </c>
      <c r="I90" s="2">
        <v>1087</v>
      </c>
      <c r="J90" s="2">
        <v>1102.5999999999999</v>
      </c>
      <c r="K90" s="2">
        <v>1095.8</v>
      </c>
      <c r="L90" s="2">
        <v>1092.0999999999999</v>
      </c>
      <c r="M90" s="2">
        <v>1094.75</v>
      </c>
      <c r="N90" s="2">
        <v>1234.3</v>
      </c>
      <c r="O90" s="2">
        <v>882.9</v>
      </c>
      <c r="P90" s="2">
        <v>641025</v>
      </c>
      <c r="Q90" s="2">
        <v>39596</v>
      </c>
      <c r="R90" s="2">
        <f>Table1[[#This Row],[HIGH]]-Table1[[#This Row],[LOW]]</f>
        <v>18.400000000000091</v>
      </c>
    </row>
    <row r="91" spans="1:18" x14ac:dyDescent="0.35">
      <c r="A91" s="1">
        <v>45915</v>
      </c>
      <c r="B91" s="1" t="str">
        <f t="shared" si="4"/>
        <v>Monday</v>
      </c>
      <c r="C91" s="1" t="str">
        <f t="shared" si="5"/>
        <v>September</v>
      </c>
      <c r="D91" s="1" t="str">
        <f t="shared" si="6"/>
        <v>Q3</v>
      </c>
      <c r="E91" s="1" t="str">
        <f t="shared" si="7"/>
        <v>2025</v>
      </c>
      <c r="F91" t="s">
        <v>13</v>
      </c>
      <c r="G91" s="2">
        <v>1103.9000000000001</v>
      </c>
      <c r="H91" s="2">
        <v>1107.9000000000001</v>
      </c>
      <c r="I91" s="2">
        <v>1090.5999999999999</v>
      </c>
      <c r="J91" s="2">
        <v>1103.9000000000001</v>
      </c>
      <c r="K91" s="2">
        <v>1100.7</v>
      </c>
      <c r="L91" s="2">
        <v>1102.5999999999999</v>
      </c>
      <c r="M91" s="2">
        <v>1100.3599999999999</v>
      </c>
      <c r="N91" s="2">
        <v>1234.3</v>
      </c>
      <c r="O91" s="2">
        <v>882.9</v>
      </c>
      <c r="P91" s="2">
        <v>1491729</v>
      </c>
      <c r="Q91" s="2">
        <v>36461</v>
      </c>
      <c r="R91" s="2">
        <f>Table1[[#This Row],[HIGH]]-Table1[[#This Row],[LOW]]</f>
        <v>17.300000000000182</v>
      </c>
    </row>
    <row r="92" spans="1:18" x14ac:dyDescent="0.35">
      <c r="A92" s="1">
        <v>45912</v>
      </c>
      <c r="B92" s="1" t="str">
        <f t="shared" si="4"/>
        <v>Friday</v>
      </c>
      <c r="C92" s="1" t="str">
        <f t="shared" si="5"/>
        <v>September</v>
      </c>
      <c r="D92" s="1" t="str">
        <f t="shared" si="6"/>
        <v>Q3</v>
      </c>
      <c r="E92" s="1" t="str">
        <f t="shared" si="7"/>
        <v>2025</v>
      </c>
      <c r="F92" t="s">
        <v>13</v>
      </c>
      <c r="G92" s="2">
        <v>1105</v>
      </c>
      <c r="H92" s="2">
        <v>1109.3</v>
      </c>
      <c r="I92" s="2">
        <v>1095.2</v>
      </c>
      <c r="J92" s="2">
        <v>1105.3</v>
      </c>
      <c r="K92" s="2">
        <v>1105</v>
      </c>
      <c r="L92" s="2">
        <v>1103.9000000000001</v>
      </c>
      <c r="M92" s="2">
        <v>1102.73</v>
      </c>
      <c r="N92" s="2">
        <v>1234.3</v>
      </c>
      <c r="O92" s="2">
        <v>882.9</v>
      </c>
      <c r="P92" s="2">
        <v>1131972</v>
      </c>
      <c r="Q92" s="2">
        <v>31631</v>
      </c>
      <c r="R92" s="2">
        <f>Table1[[#This Row],[HIGH]]-Table1[[#This Row],[LOW]]</f>
        <v>14.099999999999909</v>
      </c>
    </row>
    <row r="93" spans="1:18" x14ac:dyDescent="0.35">
      <c r="A93" s="1">
        <v>45911</v>
      </c>
      <c r="B93" s="1" t="str">
        <f t="shared" si="4"/>
        <v>Thursday</v>
      </c>
      <c r="C93" s="1" t="str">
        <f t="shared" si="5"/>
        <v>September</v>
      </c>
      <c r="D93" s="1" t="str">
        <f t="shared" si="6"/>
        <v>Q3</v>
      </c>
      <c r="E93" s="1" t="str">
        <f t="shared" si="7"/>
        <v>2025</v>
      </c>
      <c r="F93" t="s">
        <v>13</v>
      </c>
      <c r="G93" s="2">
        <v>1099</v>
      </c>
      <c r="H93" s="2">
        <v>1107.8</v>
      </c>
      <c r="I93" s="2">
        <v>1094.3</v>
      </c>
      <c r="J93" s="2">
        <v>1101</v>
      </c>
      <c r="K93" s="2">
        <v>1104</v>
      </c>
      <c r="L93" s="2">
        <v>1105.3</v>
      </c>
      <c r="M93" s="2">
        <v>1102.03</v>
      </c>
      <c r="N93" s="2">
        <v>1234.3</v>
      </c>
      <c r="O93" s="2">
        <v>882.9</v>
      </c>
      <c r="P93" s="2">
        <v>1030547</v>
      </c>
      <c r="Q93" s="2">
        <v>30595</v>
      </c>
      <c r="R93" s="2">
        <f>Table1[[#This Row],[HIGH]]-Table1[[#This Row],[LOW]]</f>
        <v>13.5</v>
      </c>
    </row>
    <row r="94" spans="1:18" x14ac:dyDescent="0.35">
      <c r="A94" s="1">
        <v>45910</v>
      </c>
      <c r="B94" s="1" t="str">
        <f t="shared" si="4"/>
        <v>Wednesday</v>
      </c>
      <c r="C94" s="1" t="str">
        <f t="shared" si="5"/>
        <v>September</v>
      </c>
      <c r="D94" s="1" t="str">
        <f t="shared" si="6"/>
        <v>Q3</v>
      </c>
      <c r="E94" s="1" t="str">
        <f t="shared" si="7"/>
        <v>2025</v>
      </c>
      <c r="F94" t="s">
        <v>13</v>
      </c>
      <c r="G94" s="2">
        <v>1083.5</v>
      </c>
      <c r="H94" s="2">
        <v>1103</v>
      </c>
      <c r="I94" s="2">
        <v>1081.7</v>
      </c>
      <c r="J94" s="2">
        <v>1083.5</v>
      </c>
      <c r="K94" s="2">
        <v>1099</v>
      </c>
      <c r="L94" s="2">
        <v>1101</v>
      </c>
      <c r="M94" s="2">
        <v>1092.3900000000001</v>
      </c>
      <c r="N94" s="2">
        <v>1234.3</v>
      </c>
      <c r="O94" s="2">
        <v>882.9</v>
      </c>
      <c r="P94" s="2">
        <v>1200433</v>
      </c>
      <c r="Q94" s="2">
        <v>42063</v>
      </c>
      <c r="R94" s="2">
        <f>Table1[[#This Row],[HIGH]]-Table1[[#This Row],[LOW]]</f>
        <v>21.299999999999955</v>
      </c>
    </row>
    <row r="95" spans="1:18" x14ac:dyDescent="0.35">
      <c r="A95" s="1">
        <v>45909</v>
      </c>
      <c r="B95" s="1" t="str">
        <f t="shared" si="4"/>
        <v>Tuesday</v>
      </c>
      <c r="C95" s="1" t="str">
        <f t="shared" si="5"/>
        <v>September</v>
      </c>
      <c r="D95" s="1" t="str">
        <f t="shared" si="6"/>
        <v>Q3</v>
      </c>
      <c r="E95" s="1" t="str">
        <f t="shared" si="7"/>
        <v>2025</v>
      </c>
      <c r="F95" t="s">
        <v>13</v>
      </c>
      <c r="G95" s="2">
        <v>1074.2</v>
      </c>
      <c r="H95" s="2">
        <v>1086</v>
      </c>
      <c r="I95" s="2">
        <v>1068.0999999999999</v>
      </c>
      <c r="J95" s="2">
        <v>1074.2</v>
      </c>
      <c r="K95" s="2">
        <v>1082.3</v>
      </c>
      <c r="L95" s="2">
        <v>1083.5</v>
      </c>
      <c r="M95" s="2">
        <v>1077.3599999999999</v>
      </c>
      <c r="N95" s="2">
        <v>1234.3</v>
      </c>
      <c r="O95" s="2">
        <v>882.9</v>
      </c>
      <c r="P95" s="2">
        <v>779147</v>
      </c>
      <c r="Q95" s="2">
        <v>27860</v>
      </c>
      <c r="R95" s="2">
        <f>Table1[[#This Row],[HIGH]]-Table1[[#This Row],[LOW]]</f>
        <v>17.900000000000091</v>
      </c>
    </row>
    <row r="96" spans="1:18" x14ac:dyDescent="0.35">
      <c r="A96" s="1">
        <v>45908</v>
      </c>
      <c r="B96" s="1" t="str">
        <f t="shared" si="4"/>
        <v>Monday</v>
      </c>
      <c r="C96" s="1" t="str">
        <f t="shared" si="5"/>
        <v>September</v>
      </c>
      <c r="D96" s="1" t="str">
        <f t="shared" si="6"/>
        <v>Q3</v>
      </c>
      <c r="E96" s="1" t="str">
        <f t="shared" si="7"/>
        <v>2025</v>
      </c>
      <c r="F96" t="s">
        <v>13</v>
      </c>
      <c r="G96" s="2">
        <v>1072.4000000000001</v>
      </c>
      <c r="H96" s="2">
        <v>1081.3</v>
      </c>
      <c r="I96" s="2">
        <v>1068.7</v>
      </c>
      <c r="J96" s="2">
        <v>1072.4000000000001</v>
      </c>
      <c r="K96" s="2">
        <v>1077.8</v>
      </c>
      <c r="L96" s="2">
        <v>1074.2</v>
      </c>
      <c r="M96" s="2">
        <v>1076.48</v>
      </c>
      <c r="N96" s="2">
        <v>1234.3</v>
      </c>
      <c r="O96" s="2">
        <v>882.9</v>
      </c>
      <c r="P96" s="2">
        <v>600835</v>
      </c>
      <c r="Q96" s="2">
        <v>30846</v>
      </c>
      <c r="R96" s="2">
        <f>Table1[[#This Row],[HIGH]]-Table1[[#This Row],[LOW]]</f>
        <v>12.599999999999909</v>
      </c>
    </row>
    <row r="97" spans="1:18" x14ac:dyDescent="0.35">
      <c r="A97" s="1">
        <v>45905</v>
      </c>
      <c r="B97" s="1" t="str">
        <f t="shared" si="4"/>
        <v>Friday</v>
      </c>
      <c r="C97" s="1" t="str">
        <f t="shared" si="5"/>
        <v>September</v>
      </c>
      <c r="D97" s="1" t="str">
        <f t="shared" si="6"/>
        <v>Q3</v>
      </c>
      <c r="E97" s="1" t="str">
        <f t="shared" si="7"/>
        <v>2025</v>
      </c>
      <c r="F97" t="s">
        <v>13</v>
      </c>
      <c r="G97" s="2">
        <v>1074</v>
      </c>
      <c r="H97" s="2">
        <v>1077.5</v>
      </c>
      <c r="I97" s="2">
        <v>1061.2</v>
      </c>
      <c r="J97" s="2">
        <v>1071.0999999999999</v>
      </c>
      <c r="K97" s="2">
        <v>1075</v>
      </c>
      <c r="L97" s="2">
        <v>1072.4000000000001</v>
      </c>
      <c r="M97" s="2">
        <v>1071.18</v>
      </c>
      <c r="N97" s="2">
        <v>1234.3</v>
      </c>
      <c r="O97" s="2">
        <v>882.9</v>
      </c>
      <c r="P97" s="2">
        <v>1130356</v>
      </c>
      <c r="Q97" s="2">
        <v>34386</v>
      </c>
      <c r="R97" s="2">
        <f>Table1[[#This Row],[HIGH]]-Table1[[#This Row],[LOW]]</f>
        <v>16.299999999999955</v>
      </c>
    </row>
    <row r="98" spans="1:18" x14ac:dyDescent="0.35">
      <c r="A98" s="1">
        <v>45904</v>
      </c>
      <c r="B98" s="1" t="str">
        <f t="shared" si="4"/>
        <v>Thursday</v>
      </c>
      <c r="C98" s="1" t="str">
        <f t="shared" si="5"/>
        <v>September</v>
      </c>
      <c r="D98" s="1" t="str">
        <f t="shared" si="6"/>
        <v>Q3</v>
      </c>
      <c r="E98" s="1" t="str">
        <f t="shared" si="7"/>
        <v>2025</v>
      </c>
      <c r="F98" t="s">
        <v>13</v>
      </c>
      <c r="G98" s="2">
        <v>1126</v>
      </c>
      <c r="H98" s="2">
        <v>1126</v>
      </c>
      <c r="I98" s="2">
        <v>1067.2</v>
      </c>
      <c r="J98" s="2">
        <v>1104.4000000000001</v>
      </c>
      <c r="K98" s="2">
        <v>1074</v>
      </c>
      <c r="L98" s="2">
        <v>1071.0999999999999</v>
      </c>
      <c r="M98" s="2">
        <v>1085.1400000000001</v>
      </c>
      <c r="N98" s="2">
        <v>1234.3</v>
      </c>
      <c r="O98" s="2">
        <v>882.9</v>
      </c>
      <c r="P98" s="2">
        <v>2407789</v>
      </c>
      <c r="Q98" s="2">
        <v>107106</v>
      </c>
      <c r="R98" s="2">
        <f>Table1[[#This Row],[HIGH]]-Table1[[#This Row],[LOW]]</f>
        <v>58.799999999999955</v>
      </c>
    </row>
    <row r="99" spans="1:18" x14ac:dyDescent="0.35">
      <c r="A99" s="1">
        <v>45903</v>
      </c>
      <c r="B99" s="1" t="str">
        <f t="shared" si="4"/>
        <v>Wednesday</v>
      </c>
      <c r="C99" s="1" t="str">
        <f t="shared" si="5"/>
        <v>September</v>
      </c>
      <c r="D99" s="1" t="str">
        <f t="shared" si="6"/>
        <v>Q3</v>
      </c>
      <c r="E99" s="1" t="str">
        <f t="shared" si="7"/>
        <v>2025</v>
      </c>
      <c r="F99" t="s">
        <v>13</v>
      </c>
      <c r="G99" s="2">
        <v>1102.9000000000001</v>
      </c>
      <c r="H99" s="2">
        <v>1106.5999999999999</v>
      </c>
      <c r="I99" s="2">
        <v>1086.5</v>
      </c>
      <c r="J99" s="2">
        <v>1100.8</v>
      </c>
      <c r="K99" s="2">
        <v>1105</v>
      </c>
      <c r="L99" s="2">
        <v>1104.4000000000001</v>
      </c>
      <c r="M99" s="2">
        <v>1097.25</v>
      </c>
      <c r="N99" s="2">
        <v>1234.3</v>
      </c>
      <c r="O99" s="2">
        <v>882.9</v>
      </c>
      <c r="P99" s="2">
        <v>1244093</v>
      </c>
      <c r="Q99" s="2">
        <v>48855</v>
      </c>
      <c r="R99" s="2">
        <f>Table1[[#This Row],[HIGH]]-Table1[[#This Row],[LOW]]</f>
        <v>20.099999999999909</v>
      </c>
    </row>
    <row r="100" spans="1:18" x14ac:dyDescent="0.35">
      <c r="A100" s="1">
        <v>45902</v>
      </c>
      <c r="B100" s="1" t="str">
        <f t="shared" si="4"/>
        <v>Tuesday</v>
      </c>
      <c r="C100" s="1" t="str">
        <f t="shared" si="5"/>
        <v>September</v>
      </c>
      <c r="D100" s="1" t="str">
        <f t="shared" si="6"/>
        <v>Q3</v>
      </c>
      <c r="E100" s="1" t="str">
        <f t="shared" si="7"/>
        <v>2025</v>
      </c>
      <c r="F100" t="s">
        <v>13</v>
      </c>
      <c r="G100" s="2">
        <v>1077</v>
      </c>
      <c r="H100" s="2">
        <v>1105.5999999999999</v>
      </c>
      <c r="I100" s="2">
        <v>1074.0999999999999</v>
      </c>
      <c r="J100" s="2">
        <v>1075.7</v>
      </c>
      <c r="K100" s="2">
        <v>1105.5</v>
      </c>
      <c r="L100" s="2">
        <v>1100.8</v>
      </c>
      <c r="M100" s="2">
        <v>1094.03</v>
      </c>
      <c r="N100" s="2">
        <v>1234.3</v>
      </c>
      <c r="O100" s="2">
        <v>882.9</v>
      </c>
      <c r="P100" s="2">
        <v>1649975</v>
      </c>
      <c r="Q100" s="2">
        <v>76076</v>
      </c>
      <c r="R100" s="2">
        <f>Table1[[#This Row],[HIGH]]-Table1[[#This Row],[LOW]]</f>
        <v>31.5</v>
      </c>
    </row>
    <row r="101" spans="1:18" x14ac:dyDescent="0.35">
      <c r="A101" s="1">
        <v>45901</v>
      </c>
      <c r="B101" s="1" t="str">
        <f t="shared" si="4"/>
        <v>Monday</v>
      </c>
      <c r="C101" s="1" t="str">
        <f t="shared" si="5"/>
        <v>September</v>
      </c>
      <c r="D101" s="1" t="str">
        <f t="shared" si="6"/>
        <v>Q3</v>
      </c>
      <c r="E101" s="1" t="str">
        <f t="shared" si="7"/>
        <v>2025</v>
      </c>
      <c r="F101" t="s">
        <v>13</v>
      </c>
      <c r="G101" s="2">
        <v>1059.0999999999999</v>
      </c>
      <c r="H101" s="2">
        <v>1077</v>
      </c>
      <c r="I101" s="2">
        <v>1057</v>
      </c>
      <c r="J101" s="2">
        <v>1065.4000000000001</v>
      </c>
      <c r="K101" s="2">
        <v>1075</v>
      </c>
      <c r="L101" s="2">
        <v>1075.7</v>
      </c>
      <c r="M101" s="2">
        <v>1069.0899999999999</v>
      </c>
      <c r="N101" s="2">
        <v>1234.3</v>
      </c>
      <c r="O101" s="2">
        <v>882.9</v>
      </c>
      <c r="P101" s="2">
        <v>807324</v>
      </c>
      <c r="Q101" s="2">
        <v>42486</v>
      </c>
      <c r="R101" s="2">
        <f>Table1[[#This Row],[HIGH]]-Table1[[#This Row],[LOW]]</f>
        <v>20</v>
      </c>
    </row>
    <row r="102" spans="1:18" x14ac:dyDescent="0.35">
      <c r="A102" s="1">
        <v>45898</v>
      </c>
      <c r="B102" s="1" t="str">
        <f t="shared" si="4"/>
        <v>Friday</v>
      </c>
      <c r="C102" s="1" t="str">
        <f t="shared" si="5"/>
        <v>August</v>
      </c>
      <c r="D102" s="1" t="str">
        <f t="shared" si="6"/>
        <v>Q3</v>
      </c>
      <c r="E102" s="1" t="str">
        <f t="shared" si="7"/>
        <v>2025</v>
      </c>
      <c r="F102" t="s">
        <v>13</v>
      </c>
      <c r="G102" s="2">
        <v>1065</v>
      </c>
      <c r="H102" s="2">
        <v>1077.5</v>
      </c>
      <c r="I102" s="2">
        <v>1055.2</v>
      </c>
      <c r="J102" s="2">
        <v>1062.4000000000001</v>
      </c>
      <c r="K102" s="2">
        <v>1062</v>
      </c>
      <c r="L102" s="2">
        <v>1065.4000000000001</v>
      </c>
      <c r="M102" s="2">
        <v>1065.5999999999999</v>
      </c>
      <c r="N102" s="2">
        <v>1234.3</v>
      </c>
      <c r="O102" s="2">
        <v>882.9</v>
      </c>
      <c r="P102" s="2">
        <v>1079893</v>
      </c>
      <c r="Q102" s="2">
        <v>51358</v>
      </c>
      <c r="R102" s="2">
        <f>Table1[[#This Row],[HIGH]]-Table1[[#This Row],[LOW]]</f>
        <v>22.299999999999955</v>
      </c>
    </row>
    <row r="103" spans="1:18" x14ac:dyDescent="0.35">
      <c r="A103" s="1">
        <v>45897</v>
      </c>
      <c r="B103" s="1" t="str">
        <f t="shared" si="4"/>
        <v>Thursday</v>
      </c>
      <c r="C103" s="1" t="str">
        <f t="shared" si="5"/>
        <v>August</v>
      </c>
      <c r="D103" s="1" t="str">
        <f t="shared" si="6"/>
        <v>Q3</v>
      </c>
      <c r="E103" s="1" t="str">
        <f t="shared" si="7"/>
        <v>2025</v>
      </c>
      <c r="F103" t="s">
        <v>13</v>
      </c>
      <c r="G103" s="2">
        <v>1081.5</v>
      </c>
      <c r="H103" s="2">
        <v>1085.2</v>
      </c>
      <c r="I103" s="2">
        <v>1060</v>
      </c>
      <c r="J103" s="2">
        <v>1079.9000000000001</v>
      </c>
      <c r="K103" s="2">
        <v>1060.2</v>
      </c>
      <c r="L103" s="2">
        <v>1062.4000000000001</v>
      </c>
      <c r="M103" s="2">
        <v>1066.77</v>
      </c>
      <c r="N103" s="2">
        <v>1234.3</v>
      </c>
      <c r="O103" s="2">
        <v>882.9</v>
      </c>
      <c r="P103" s="2">
        <v>641975</v>
      </c>
      <c r="Q103" s="2">
        <v>45554</v>
      </c>
      <c r="R103" s="2">
        <f>Table1[[#This Row],[HIGH]]-Table1[[#This Row],[LOW]]</f>
        <v>25.200000000000045</v>
      </c>
    </row>
    <row r="104" spans="1:18" x14ac:dyDescent="0.35">
      <c r="A104" s="1">
        <v>45895</v>
      </c>
      <c r="B104" s="1" t="str">
        <f t="shared" si="4"/>
        <v>Tuesday</v>
      </c>
      <c r="C104" s="1" t="str">
        <f t="shared" si="5"/>
        <v>August</v>
      </c>
      <c r="D104" s="1" t="str">
        <f t="shared" si="6"/>
        <v>Q3</v>
      </c>
      <c r="E104" s="1" t="str">
        <f t="shared" si="7"/>
        <v>2025</v>
      </c>
      <c r="F104" t="s">
        <v>13</v>
      </c>
      <c r="G104" s="2">
        <v>1074.0999999999999</v>
      </c>
      <c r="H104" s="2">
        <v>1091.8</v>
      </c>
      <c r="I104" s="2">
        <v>1070.0999999999999</v>
      </c>
      <c r="J104" s="2">
        <v>1081.5999999999999</v>
      </c>
      <c r="K104" s="2">
        <v>1081.3</v>
      </c>
      <c r="L104" s="2">
        <v>1079.9000000000001</v>
      </c>
      <c r="M104" s="2">
        <v>1081.95</v>
      </c>
      <c r="N104" s="2">
        <v>1234.3</v>
      </c>
      <c r="O104" s="2">
        <v>882.9</v>
      </c>
      <c r="P104" s="2">
        <v>1201357</v>
      </c>
      <c r="Q104" s="2">
        <v>47913</v>
      </c>
      <c r="R104" s="2">
        <f>Table1[[#This Row],[HIGH]]-Table1[[#This Row],[LOW]]</f>
        <v>21.700000000000045</v>
      </c>
    </row>
    <row r="105" spans="1:18" x14ac:dyDescent="0.35">
      <c r="A105" s="1">
        <v>45894</v>
      </c>
      <c r="B105" s="1" t="str">
        <f t="shared" si="4"/>
        <v>Monday</v>
      </c>
      <c r="C105" s="1" t="str">
        <f t="shared" si="5"/>
        <v>August</v>
      </c>
      <c r="D105" s="1" t="str">
        <f t="shared" si="6"/>
        <v>Q3</v>
      </c>
      <c r="E105" s="1" t="str">
        <f t="shared" si="7"/>
        <v>2025</v>
      </c>
      <c r="F105" t="s">
        <v>13</v>
      </c>
      <c r="G105" s="2">
        <v>1085</v>
      </c>
      <c r="H105" s="2">
        <v>1091.3</v>
      </c>
      <c r="I105" s="2">
        <v>1079.0999999999999</v>
      </c>
      <c r="J105" s="2">
        <v>1084.0999999999999</v>
      </c>
      <c r="K105" s="2">
        <v>1081.8</v>
      </c>
      <c r="L105" s="2">
        <v>1081.5999999999999</v>
      </c>
      <c r="M105" s="2">
        <v>1085.18</v>
      </c>
      <c r="N105" s="2">
        <v>1234.3</v>
      </c>
      <c r="O105" s="2">
        <v>882.9</v>
      </c>
      <c r="P105" s="2">
        <v>444715</v>
      </c>
      <c r="Q105" s="2">
        <v>32836</v>
      </c>
      <c r="R105" s="2">
        <f>Table1[[#This Row],[HIGH]]-Table1[[#This Row],[LOW]]</f>
        <v>12.200000000000045</v>
      </c>
    </row>
    <row r="106" spans="1:18" x14ac:dyDescent="0.35">
      <c r="A106" s="1">
        <v>45891</v>
      </c>
      <c r="B106" s="1" t="str">
        <f t="shared" si="4"/>
        <v>Friday</v>
      </c>
      <c r="C106" s="1" t="str">
        <f t="shared" si="5"/>
        <v>August</v>
      </c>
      <c r="D106" s="1" t="str">
        <f t="shared" si="6"/>
        <v>Q3</v>
      </c>
      <c r="E106" s="1" t="str">
        <f t="shared" si="7"/>
        <v>2025</v>
      </c>
      <c r="F106" t="s">
        <v>13</v>
      </c>
      <c r="G106" s="2">
        <v>1087.2</v>
      </c>
      <c r="H106" s="2">
        <v>1091.7</v>
      </c>
      <c r="I106" s="2">
        <v>1080</v>
      </c>
      <c r="J106" s="2">
        <v>1088.0999999999999</v>
      </c>
      <c r="K106" s="2">
        <v>1085.5</v>
      </c>
      <c r="L106" s="2">
        <v>1084.0999999999999</v>
      </c>
      <c r="M106" s="2">
        <v>1085.82</v>
      </c>
      <c r="N106" s="2">
        <v>1234.3</v>
      </c>
      <c r="O106" s="2">
        <v>882.9</v>
      </c>
      <c r="P106" s="2">
        <v>394813</v>
      </c>
      <c r="Q106" s="2">
        <v>27052</v>
      </c>
      <c r="R106" s="2">
        <f>Table1[[#This Row],[HIGH]]-Table1[[#This Row],[LOW]]</f>
        <v>11.700000000000045</v>
      </c>
    </row>
    <row r="107" spans="1:18" x14ac:dyDescent="0.35">
      <c r="A107" s="1">
        <v>45890</v>
      </c>
      <c r="B107" s="1" t="str">
        <f t="shared" si="4"/>
        <v>Thursday</v>
      </c>
      <c r="C107" s="1" t="str">
        <f t="shared" si="5"/>
        <v>August</v>
      </c>
      <c r="D107" s="1" t="str">
        <f t="shared" si="6"/>
        <v>Q3</v>
      </c>
      <c r="E107" s="1" t="str">
        <f t="shared" si="7"/>
        <v>2025</v>
      </c>
      <c r="F107" t="s">
        <v>13</v>
      </c>
      <c r="G107" s="2">
        <v>1104</v>
      </c>
      <c r="H107" s="2">
        <v>1104</v>
      </c>
      <c r="I107" s="2">
        <v>1086.5</v>
      </c>
      <c r="J107" s="2">
        <v>1105.3</v>
      </c>
      <c r="K107" s="2">
        <v>1088</v>
      </c>
      <c r="L107" s="2">
        <v>1088.0999999999999</v>
      </c>
      <c r="M107" s="2">
        <v>1091.47</v>
      </c>
      <c r="N107" s="2">
        <v>1234.3</v>
      </c>
      <c r="O107" s="2">
        <v>882.9</v>
      </c>
      <c r="P107" s="2">
        <v>614098</v>
      </c>
      <c r="Q107" s="2">
        <v>28982</v>
      </c>
      <c r="R107" s="2">
        <f>Table1[[#This Row],[HIGH]]-Table1[[#This Row],[LOW]]</f>
        <v>17.5</v>
      </c>
    </row>
    <row r="108" spans="1:18" x14ac:dyDescent="0.35">
      <c r="A108" s="1">
        <v>45889</v>
      </c>
      <c r="B108" s="1" t="str">
        <f t="shared" si="4"/>
        <v>Wednesday</v>
      </c>
      <c r="C108" s="1" t="str">
        <f t="shared" si="5"/>
        <v>August</v>
      </c>
      <c r="D108" s="1" t="str">
        <f t="shared" si="6"/>
        <v>Q3</v>
      </c>
      <c r="E108" s="1" t="str">
        <f t="shared" si="7"/>
        <v>2025</v>
      </c>
      <c r="F108" t="s">
        <v>13</v>
      </c>
      <c r="G108" s="2">
        <v>1086</v>
      </c>
      <c r="H108" s="2">
        <v>1106.9000000000001</v>
      </c>
      <c r="I108" s="2">
        <v>1078.9000000000001</v>
      </c>
      <c r="J108" s="2">
        <v>1085.8</v>
      </c>
      <c r="K108" s="2">
        <v>1105.3</v>
      </c>
      <c r="L108" s="2">
        <v>1105.3</v>
      </c>
      <c r="M108" s="2">
        <v>1097.56</v>
      </c>
      <c r="N108" s="2">
        <v>1234.3</v>
      </c>
      <c r="O108" s="2">
        <v>882.9</v>
      </c>
      <c r="P108" s="2">
        <v>871108</v>
      </c>
      <c r="Q108" s="2">
        <v>43537</v>
      </c>
      <c r="R108" s="2">
        <f>Table1[[#This Row],[HIGH]]-Table1[[#This Row],[LOW]]</f>
        <v>28</v>
      </c>
    </row>
    <row r="109" spans="1:18" x14ac:dyDescent="0.35">
      <c r="A109" s="1">
        <v>45888</v>
      </c>
      <c r="B109" s="1" t="str">
        <f t="shared" si="4"/>
        <v>Tuesday</v>
      </c>
      <c r="C109" s="1" t="str">
        <f t="shared" si="5"/>
        <v>August</v>
      </c>
      <c r="D109" s="1" t="str">
        <f t="shared" si="6"/>
        <v>Q3</v>
      </c>
      <c r="E109" s="1" t="str">
        <f t="shared" si="7"/>
        <v>2025</v>
      </c>
      <c r="F109" t="s">
        <v>13</v>
      </c>
      <c r="G109" s="2">
        <v>1076.7</v>
      </c>
      <c r="H109" s="2">
        <v>1092.9000000000001</v>
      </c>
      <c r="I109" s="2">
        <v>1069</v>
      </c>
      <c r="J109" s="2">
        <v>1071.3</v>
      </c>
      <c r="K109" s="2">
        <v>1091.4000000000001</v>
      </c>
      <c r="L109" s="2">
        <v>1085.8</v>
      </c>
      <c r="M109" s="2">
        <v>1081.53</v>
      </c>
      <c r="N109" s="2">
        <v>1234.3</v>
      </c>
      <c r="O109" s="2">
        <v>882.9</v>
      </c>
      <c r="P109" s="2">
        <v>667231</v>
      </c>
      <c r="Q109" s="2">
        <v>30288</v>
      </c>
      <c r="R109" s="2">
        <f>Table1[[#This Row],[HIGH]]-Table1[[#This Row],[LOW]]</f>
        <v>23.900000000000091</v>
      </c>
    </row>
    <row r="110" spans="1:18" x14ac:dyDescent="0.35">
      <c r="A110" s="1">
        <v>45887</v>
      </c>
      <c r="B110" s="1" t="str">
        <f t="shared" si="4"/>
        <v>Monday</v>
      </c>
      <c r="C110" s="1" t="str">
        <f t="shared" si="5"/>
        <v>August</v>
      </c>
      <c r="D110" s="1" t="str">
        <f t="shared" si="6"/>
        <v>Q3</v>
      </c>
      <c r="E110" s="1" t="str">
        <f t="shared" si="7"/>
        <v>2025</v>
      </c>
      <c r="F110" t="s">
        <v>13</v>
      </c>
      <c r="G110" s="2">
        <v>1061</v>
      </c>
      <c r="H110" s="2">
        <v>1090</v>
      </c>
      <c r="I110" s="2">
        <v>1059</v>
      </c>
      <c r="J110" s="2">
        <v>1051.2</v>
      </c>
      <c r="K110" s="2">
        <v>1073</v>
      </c>
      <c r="L110" s="2">
        <v>1071.3</v>
      </c>
      <c r="M110" s="2">
        <v>1076.6300000000001</v>
      </c>
      <c r="N110" s="2">
        <v>1234.3</v>
      </c>
      <c r="O110" s="2">
        <v>882.9</v>
      </c>
      <c r="P110" s="2">
        <v>1099268</v>
      </c>
      <c r="Q110" s="2">
        <v>42078</v>
      </c>
      <c r="R110" s="2">
        <f>Table1[[#This Row],[HIGH]]-Table1[[#This Row],[LOW]]</f>
        <v>31</v>
      </c>
    </row>
    <row r="111" spans="1:18" x14ac:dyDescent="0.35">
      <c r="A111" s="1">
        <v>45883</v>
      </c>
      <c r="B111" s="1" t="str">
        <f t="shared" si="4"/>
        <v>Thursday</v>
      </c>
      <c r="C111" s="1" t="str">
        <f t="shared" si="5"/>
        <v>August</v>
      </c>
      <c r="D111" s="1" t="str">
        <f t="shared" si="6"/>
        <v>Q3</v>
      </c>
      <c r="E111" s="1" t="str">
        <f t="shared" si="7"/>
        <v>2025</v>
      </c>
      <c r="F111" t="s">
        <v>13</v>
      </c>
      <c r="G111" s="2">
        <v>1057.2</v>
      </c>
      <c r="H111" s="2">
        <v>1059.4000000000001</v>
      </c>
      <c r="I111" s="2">
        <v>1045.4000000000001</v>
      </c>
      <c r="J111" s="2">
        <v>1056.0999999999999</v>
      </c>
      <c r="K111" s="2">
        <v>1045.4000000000001</v>
      </c>
      <c r="L111" s="2">
        <v>1051.2</v>
      </c>
      <c r="M111" s="2">
        <v>1052.8800000000001</v>
      </c>
      <c r="N111" s="2">
        <v>1234.3</v>
      </c>
      <c r="O111" s="2">
        <v>882.9</v>
      </c>
      <c r="P111" s="2">
        <v>767620</v>
      </c>
      <c r="Q111" s="2">
        <v>31648</v>
      </c>
      <c r="R111" s="2">
        <f>Table1[[#This Row],[HIGH]]-Table1[[#This Row],[LOW]]</f>
        <v>14</v>
      </c>
    </row>
    <row r="112" spans="1:18" x14ac:dyDescent="0.35">
      <c r="A112" s="1">
        <v>45882</v>
      </c>
      <c r="B112" s="1" t="str">
        <f t="shared" si="4"/>
        <v>Wednesday</v>
      </c>
      <c r="C112" s="1" t="str">
        <f t="shared" si="5"/>
        <v>August</v>
      </c>
      <c r="D112" s="1" t="str">
        <f t="shared" si="6"/>
        <v>Q3</v>
      </c>
      <c r="E112" s="1" t="str">
        <f t="shared" si="7"/>
        <v>2025</v>
      </c>
      <c r="F112" t="s">
        <v>13</v>
      </c>
      <c r="G112" s="2">
        <v>1047.8</v>
      </c>
      <c r="H112" s="2">
        <v>1058.7</v>
      </c>
      <c r="I112" s="2">
        <v>1043.2</v>
      </c>
      <c r="J112" s="2">
        <v>1046.8</v>
      </c>
      <c r="K112" s="2">
        <v>1057.5</v>
      </c>
      <c r="L112" s="2">
        <v>1056.0999999999999</v>
      </c>
      <c r="M112" s="2">
        <v>1051.8</v>
      </c>
      <c r="N112" s="2">
        <v>1234.3</v>
      </c>
      <c r="O112" s="2">
        <v>882.9</v>
      </c>
      <c r="P112" s="2">
        <v>501792</v>
      </c>
      <c r="Q112" s="2">
        <v>30458</v>
      </c>
      <c r="R112" s="2">
        <f>Table1[[#This Row],[HIGH]]-Table1[[#This Row],[LOW]]</f>
        <v>15.5</v>
      </c>
    </row>
    <row r="113" spans="1:18" x14ac:dyDescent="0.35">
      <c r="A113" s="1">
        <v>45881</v>
      </c>
      <c r="B113" s="1" t="str">
        <f t="shared" si="4"/>
        <v>Tuesday</v>
      </c>
      <c r="C113" s="1" t="str">
        <f t="shared" si="5"/>
        <v>August</v>
      </c>
      <c r="D113" s="1" t="str">
        <f t="shared" si="6"/>
        <v>Q3</v>
      </c>
      <c r="E113" s="1" t="str">
        <f t="shared" si="7"/>
        <v>2025</v>
      </c>
      <c r="F113" t="s">
        <v>13</v>
      </c>
      <c r="G113" s="2">
        <v>1055.8</v>
      </c>
      <c r="H113" s="2">
        <v>1062.9000000000001</v>
      </c>
      <c r="I113" s="2">
        <v>1045</v>
      </c>
      <c r="J113" s="2">
        <v>1059.0999999999999</v>
      </c>
      <c r="K113" s="2">
        <v>1047.7</v>
      </c>
      <c r="L113" s="2">
        <v>1046.8</v>
      </c>
      <c r="M113" s="2">
        <v>1052.8800000000001</v>
      </c>
      <c r="N113" s="2">
        <v>1234.3</v>
      </c>
      <c r="O113" s="2">
        <v>882.9</v>
      </c>
      <c r="P113" s="2">
        <v>651741</v>
      </c>
      <c r="Q113" s="2">
        <v>28784</v>
      </c>
      <c r="R113" s="2">
        <f>Table1[[#This Row],[HIGH]]-Table1[[#This Row],[LOW]]</f>
        <v>17.900000000000091</v>
      </c>
    </row>
    <row r="114" spans="1:18" x14ac:dyDescent="0.35">
      <c r="A114" s="1">
        <v>45880</v>
      </c>
      <c r="B114" s="1" t="str">
        <f t="shared" si="4"/>
        <v>Monday</v>
      </c>
      <c r="C114" s="1" t="str">
        <f t="shared" si="5"/>
        <v>August</v>
      </c>
      <c r="D114" s="1" t="str">
        <f t="shared" si="6"/>
        <v>Q3</v>
      </c>
      <c r="E114" s="1" t="str">
        <f t="shared" si="7"/>
        <v>2025</v>
      </c>
      <c r="F114" t="s">
        <v>13</v>
      </c>
      <c r="G114" s="2">
        <v>1048</v>
      </c>
      <c r="H114" s="2">
        <v>1062.9000000000001</v>
      </c>
      <c r="I114" s="2">
        <v>1037.7</v>
      </c>
      <c r="J114" s="2">
        <v>1051</v>
      </c>
      <c r="K114" s="2">
        <v>1055.3</v>
      </c>
      <c r="L114" s="2">
        <v>1059.0999999999999</v>
      </c>
      <c r="M114" s="2">
        <v>1056.27</v>
      </c>
      <c r="N114" s="2">
        <v>1234.3</v>
      </c>
      <c r="O114" s="2">
        <v>882.9</v>
      </c>
      <c r="P114" s="2">
        <v>617689</v>
      </c>
      <c r="Q114" s="2">
        <v>49920</v>
      </c>
      <c r="R114" s="2">
        <f>Table1[[#This Row],[HIGH]]-Table1[[#This Row],[LOW]]</f>
        <v>25.200000000000045</v>
      </c>
    </row>
    <row r="115" spans="1:18" x14ac:dyDescent="0.35">
      <c r="A115" s="1">
        <v>45877</v>
      </c>
      <c r="B115" s="1" t="str">
        <f t="shared" si="4"/>
        <v>Friday</v>
      </c>
      <c r="C115" s="1" t="str">
        <f t="shared" si="5"/>
        <v>August</v>
      </c>
      <c r="D115" s="1" t="str">
        <f t="shared" si="6"/>
        <v>Q3</v>
      </c>
      <c r="E115" s="1" t="str">
        <f t="shared" si="7"/>
        <v>2025</v>
      </c>
      <c r="F115" t="s">
        <v>13</v>
      </c>
      <c r="G115" s="2">
        <v>1052</v>
      </c>
      <c r="H115" s="2">
        <v>1062</v>
      </c>
      <c r="I115" s="2">
        <v>1043</v>
      </c>
      <c r="J115" s="2">
        <v>1052.8</v>
      </c>
      <c r="K115" s="2">
        <v>1047.9000000000001</v>
      </c>
      <c r="L115" s="2">
        <v>1051</v>
      </c>
      <c r="M115" s="2">
        <v>1054.58</v>
      </c>
      <c r="N115" s="2">
        <v>1234.3</v>
      </c>
      <c r="O115" s="2">
        <v>882.9</v>
      </c>
      <c r="P115" s="2">
        <v>843741</v>
      </c>
      <c r="Q115" s="2">
        <v>48237</v>
      </c>
      <c r="R115" s="2">
        <f>Table1[[#This Row],[HIGH]]-Table1[[#This Row],[LOW]]</f>
        <v>19</v>
      </c>
    </row>
    <row r="116" spans="1:18" x14ac:dyDescent="0.35">
      <c r="A116" s="1">
        <v>45876</v>
      </c>
      <c r="B116" s="1" t="str">
        <f t="shared" si="4"/>
        <v>Thursday</v>
      </c>
      <c r="C116" s="1" t="str">
        <f t="shared" si="5"/>
        <v>August</v>
      </c>
      <c r="D116" s="1" t="str">
        <f t="shared" si="6"/>
        <v>Q3</v>
      </c>
      <c r="E116" s="1" t="str">
        <f t="shared" si="7"/>
        <v>2025</v>
      </c>
      <c r="F116" t="s">
        <v>13</v>
      </c>
      <c r="G116" s="2">
        <v>1051</v>
      </c>
      <c r="H116" s="2">
        <v>1056.5</v>
      </c>
      <c r="I116" s="2">
        <v>1038.7</v>
      </c>
      <c r="J116" s="2">
        <v>1052.8</v>
      </c>
      <c r="K116" s="2">
        <v>1052.2</v>
      </c>
      <c r="L116" s="2">
        <v>1052.8</v>
      </c>
      <c r="M116" s="2">
        <v>1047.22</v>
      </c>
      <c r="N116" s="2">
        <v>1234.3</v>
      </c>
      <c r="O116" s="2">
        <v>882.9</v>
      </c>
      <c r="P116" s="2">
        <v>600790</v>
      </c>
      <c r="Q116" s="2">
        <v>36426</v>
      </c>
      <c r="R116" s="2">
        <f>Table1[[#This Row],[HIGH]]-Table1[[#This Row],[LOW]]</f>
        <v>17.799999999999955</v>
      </c>
    </row>
    <row r="117" spans="1:18" x14ac:dyDescent="0.35">
      <c r="A117" s="1">
        <v>45875</v>
      </c>
      <c r="B117" s="1" t="str">
        <f t="shared" si="4"/>
        <v>Wednesday</v>
      </c>
      <c r="C117" s="1" t="str">
        <f t="shared" si="5"/>
        <v>August</v>
      </c>
      <c r="D117" s="1" t="str">
        <f t="shared" si="6"/>
        <v>Q3</v>
      </c>
      <c r="E117" s="1" t="str">
        <f t="shared" si="7"/>
        <v>2025</v>
      </c>
      <c r="F117" t="s">
        <v>13</v>
      </c>
      <c r="G117" s="2">
        <v>1061</v>
      </c>
      <c r="H117" s="2">
        <v>1067.3</v>
      </c>
      <c r="I117" s="2">
        <v>1050.5999999999999</v>
      </c>
      <c r="J117" s="2">
        <v>1064.5999999999999</v>
      </c>
      <c r="K117" s="2">
        <v>1052.5999999999999</v>
      </c>
      <c r="L117" s="2">
        <v>1052.8</v>
      </c>
      <c r="M117" s="2">
        <v>1058.76</v>
      </c>
      <c r="N117" s="2">
        <v>1234.3</v>
      </c>
      <c r="O117" s="2">
        <v>882.9</v>
      </c>
      <c r="P117" s="2">
        <v>598309</v>
      </c>
      <c r="Q117" s="2">
        <v>34086</v>
      </c>
      <c r="R117" s="2">
        <f>Table1[[#This Row],[HIGH]]-Table1[[#This Row],[LOW]]</f>
        <v>16.700000000000045</v>
      </c>
    </row>
    <row r="118" spans="1:18" x14ac:dyDescent="0.35">
      <c r="A118" s="1">
        <v>45874</v>
      </c>
      <c r="B118" s="1" t="str">
        <f t="shared" si="4"/>
        <v>Tuesday</v>
      </c>
      <c r="C118" s="1" t="str">
        <f t="shared" si="5"/>
        <v>August</v>
      </c>
      <c r="D118" s="1" t="str">
        <f t="shared" si="6"/>
        <v>Q3</v>
      </c>
      <c r="E118" s="1" t="str">
        <f t="shared" si="7"/>
        <v>2025</v>
      </c>
      <c r="F118" t="s">
        <v>13</v>
      </c>
      <c r="G118" s="2">
        <v>1072.5999999999999</v>
      </c>
      <c r="H118" s="2">
        <v>1073</v>
      </c>
      <c r="I118" s="2">
        <v>1059.0999999999999</v>
      </c>
      <c r="J118" s="2">
        <v>1072.5999999999999</v>
      </c>
      <c r="K118" s="2">
        <v>1065.5</v>
      </c>
      <c r="L118" s="2">
        <v>1064.5999999999999</v>
      </c>
      <c r="M118" s="2">
        <v>1063.96</v>
      </c>
      <c r="N118" s="2">
        <v>1234.3</v>
      </c>
      <c r="O118" s="2">
        <v>882.9</v>
      </c>
      <c r="P118" s="2">
        <v>861402</v>
      </c>
      <c r="Q118" s="2">
        <v>46355</v>
      </c>
      <c r="R118" s="2">
        <f>Table1[[#This Row],[HIGH]]-Table1[[#This Row],[LOW]]</f>
        <v>13.900000000000091</v>
      </c>
    </row>
    <row r="119" spans="1:18" x14ac:dyDescent="0.35">
      <c r="A119" s="1">
        <v>45873</v>
      </c>
      <c r="B119" s="1" t="str">
        <f t="shared" si="4"/>
        <v>Monday</v>
      </c>
      <c r="C119" s="1" t="str">
        <f t="shared" si="5"/>
        <v>August</v>
      </c>
      <c r="D119" s="1" t="str">
        <f t="shared" si="6"/>
        <v>Q3</v>
      </c>
      <c r="E119" s="1" t="str">
        <f t="shared" si="7"/>
        <v>2025</v>
      </c>
      <c r="F119" t="s">
        <v>13</v>
      </c>
      <c r="G119" s="2">
        <v>1070.4000000000001</v>
      </c>
      <c r="H119" s="2">
        <v>1075.5999999999999</v>
      </c>
      <c r="I119" s="2">
        <v>1060</v>
      </c>
      <c r="J119" s="2">
        <v>1070.4000000000001</v>
      </c>
      <c r="K119" s="2">
        <v>1075</v>
      </c>
      <c r="L119" s="2">
        <v>1072.5999999999999</v>
      </c>
      <c r="M119" s="2">
        <v>1068.08</v>
      </c>
      <c r="N119" s="2">
        <v>1234.3</v>
      </c>
      <c r="O119" s="2">
        <v>882.9</v>
      </c>
      <c r="P119" s="2">
        <v>663828</v>
      </c>
      <c r="Q119" s="2">
        <v>34604</v>
      </c>
      <c r="R119" s="2">
        <f>Table1[[#This Row],[HIGH]]-Table1[[#This Row],[LOW]]</f>
        <v>15.599999999999909</v>
      </c>
    </row>
    <row r="120" spans="1:18" x14ac:dyDescent="0.35">
      <c r="A120" s="1">
        <v>45870</v>
      </c>
      <c r="B120" s="1" t="str">
        <f t="shared" si="4"/>
        <v>Friday</v>
      </c>
      <c r="C120" s="1" t="str">
        <f t="shared" si="5"/>
        <v>August</v>
      </c>
      <c r="D120" s="1" t="str">
        <f t="shared" si="6"/>
        <v>Q3</v>
      </c>
      <c r="E120" s="1" t="str">
        <f t="shared" si="7"/>
        <v>2025</v>
      </c>
      <c r="F120" t="s">
        <v>13</v>
      </c>
      <c r="G120" s="2">
        <v>1067.0999999999999</v>
      </c>
      <c r="H120" s="2">
        <v>1089.9000000000001</v>
      </c>
      <c r="I120" s="2">
        <v>1067</v>
      </c>
      <c r="J120" s="2">
        <v>1073.2</v>
      </c>
      <c r="K120" s="2">
        <v>1069</v>
      </c>
      <c r="L120" s="2">
        <v>1070.4000000000001</v>
      </c>
      <c r="M120" s="2">
        <v>1076.17</v>
      </c>
      <c r="N120" s="2">
        <v>1234.3</v>
      </c>
      <c r="O120" s="2">
        <v>882.9</v>
      </c>
      <c r="P120" s="2">
        <v>1040166</v>
      </c>
      <c r="Q120" s="2">
        <v>45936</v>
      </c>
      <c r="R120" s="2">
        <f>Table1[[#This Row],[HIGH]]-Table1[[#This Row],[LOW]]</f>
        <v>22.900000000000091</v>
      </c>
    </row>
    <row r="121" spans="1:18" x14ac:dyDescent="0.35">
      <c r="A121" s="1">
        <v>45869</v>
      </c>
      <c r="B121" s="1" t="str">
        <f t="shared" si="4"/>
        <v>Thursday</v>
      </c>
      <c r="C121" s="1" t="str">
        <f t="shared" si="5"/>
        <v>July</v>
      </c>
      <c r="D121" s="1" t="str">
        <f t="shared" si="6"/>
        <v>Q3</v>
      </c>
      <c r="E121" s="1" t="str">
        <f t="shared" si="7"/>
        <v>2025</v>
      </c>
      <c r="F121" t="s">
        <v>13</v>
      </c>
      <c r="G121" s="2">
        <v>1068.7</v>
      </c>
      <c r="H121" s="2">
        <v>1079.7</v>
      </c>
      <c r="I121" s="2">
        <v>1054.5</v>
      </c>
      <c r="J121" s="2">
        <v>1073.0999999999999</v>
      </c>
      <c r="K121" s="2">
        <v>1072.8</v>
      </c>
      <c r="L121" s="2">
        <v>1073.2</v>
      </c>
      <c r="M121" s="2">
        <v>1071.97</v>
      </c>
      <c r="N121" s="2">
        <v>1234.3</v>
      </c>
      <c r="O121" s="2">
        <v>882.9</v>
      </c>
      <c r="P121" s="2">
        <v>1114320</v>
      </c>
      <c r="Q121" s="2">
        <v>52828</v>
      </c>
      <c r="R121" s="2">
        <f>Table1[[#This Row],[HIGH]]-Table1[[#This Row],[LOW]]</f>
        <v>25.200000000000045</v>
      </c>
    </row>
    <row r="122" spans="1:18" x14ac:dyDescent="0.35">
      <c r="A122" s="1">
        <v>45868</v>
      </c>
      <c r="B122" s="1" t="str">
        <f t="shared" si="4"/>
        <v>Wednesday</v>
      </c>
      <c r="C122" s="1" t="str">
        <f t="shared" si="5"/>
        <v>July</v>
      </c>
      <c r="D122" s="1" t="str">
        <f t="shared" si="6"/>
        <v>Q3</v>
      </c>
      <c r="E122" s="1" t="str">
        <f t="shared" si="7"/>
        <v>2025</v>
      </c>
      <c r="F122" t="s">
        <v>13</v>
      </c>
      <c r="G122" s="2">
        <v>1056</v>
      </c>
      <c r="H122" s="2">
        <v>1083</v>
      </c>
      <c r="I122" s="2">
        <v>1056</v>
      </c>
      <c r="J122" s="2">
        <v>1061.5999999999999</v>
      </c>
      <c r="K122" s="2">
        <v>1076</v>
      </c>
      <c r="L122" s="2">
        <v>1073.0999999999999</v>
      </c>
      <c r="M122" s="2">
        <v>1075.6099999999999</v>
      </c>
      <c r="N122" s="2">
        <v>1234.3</v>
      </c>
      <c r="O122" s="2">
        <v>882.9</v>
      </c>
      <c r="P122" s="2">
        <v>1175543</v>
      </c>
      <c r="Q122" s="2">
        <v>44453</v>
      </c>
      <c r="R122" s="2">
        <f>Table1[[#This Row],[HIGH]]-Table1[[#This Row],[LOW]]</f>
        <v>27</v>
      </c>
    </row>
    <row r="123" spans="1:18" x14ac:dyDescent="0.35">
      <c r="A123" s="1">
        <v>45867</v>
      </c>
      <c r="B123" s="1" t="str">
        <f t="shared" si="4"/>
        <v>Tuesday</v>
      </c>
      <c r="C123" s="1" t="str">
        <f t="shared" si="5"/>
        <v>July</v>
      </c>
      <c r="D123" s="1" t="str">
        <f t="shared" si="6"/>
        <v>Q3</v>
      </c>
      <c r="E123" s="1" t="str">
        <f t="shared" si="7"/>
        <v>2025</v>
      </c>
      <c r="F123" t="s">
        <v>13</v>
      </c>
      <c r="G123" s="2">
        <v>1059.9000000000001</v>
      </c>
      <c r="H123" s="2">
        <v>1076.2</v>
      </c>
      <c r="I123" s="2">
        <v>1054</v>
      </c>
      <c r="J123" s="2">
        <v>1059.9000000000001</v>
      </c>
      <c r="K123" s="2">
        <v>1061.5999999999999</v>
      </c>
      <c r="L123" s="2">
        <v>1061.5999999999999</v>
      </c>
      <c r="M123" s="2">
        <v>1063.03</v>
      </c>
      <c r="N123" s="2">
        <v>1234.3</v>
      </c>
      <c r="O123" s="2">
        <v>882.9</v>
      </c>
      <c r="P123" s="2">
        <v>944513</v>
      </c>
      <c r="Q123" s="2">
        <v>42237</v>
      </c>
      <c r="R123" s="2">
        <f>Table1[[#This Row],[HIGH]]-Table1[[#This Row],[LOW]]</f>
        <v>22.200000000000045</v>
      </c>
    </row>
    <row r="124" spans="1:18" x14ac:dyDescent="0.35">
      <c r="A124" s="1">
        <v>45866</v>
      </c>
      <c r="B124" s="1" t="str">
        <f t="shared" si="4"/>
        <v>Monday</v>
      </c>
      <c r="C124" s="1" t="str">
        <f t="shared" si="5"/>
        <v>July</v>
      </c>
      <c r="D124" s="1" t="str">
        <f t="shared" si="6"/>
        <v>Q3</v>
      </c>
      <c r="E124" s="1" t="str">
        <f t="shared" si="7"/>
        <v>2025</v>
      </c>
      <c r="F124" t="s">
        <v>13</v>
      </c>
      <c r="G124" s="2">
        <v>1048</v>
      </c>
      <c r="H124" s="2">
        <v>1071</v>
      </c>
      <c r="I124" s="2">
        <v>1044.4000000000001</v>
      </c>
      <c r="J124" s="2">
        <v>1054.4000000000001</v>
      </c>
      <c r="K124" s="2">
        <v>1063</v>
      </c>
      <c r="L124" s="2">
        <v>1059.9000000000001</v>
      </c>
      <c r="M124" s="2">
        <v>1062.03</v>
      </c>
      <c r="N124" s="2">
        <v>1234.3</v>
      </c>
      <c r="O124" s="2">
        <v>882.9</v>
      </c>
      <c r="P124" s="2">
        <v>1219854</v>
      </c>
      <c r="Q124" s="2">
        <v>58839</v>
      </c>
      <c r="R124" s="2">
        <f>Table1[[#This Row],[HIGH]]-Table1[[#This Row],[LOW]]</f>
        <v>26.599999999999909</v>
      </c>
    </row>
    <row r="125" spans="1:18" x14ac:dyDescent="0.35">
      <c r="A125" s="1">
        <v>45863</v>
      </c>
      <c r="B125" s="1" t="str">
        <f t="shared" si="4"/>
        <v>Friday</v>
      </c>
      <c r="C125" s="1" t="str">
        <f t="shared" si="5"/>
        <v>July</v>
      </c>
      <c r="D125" s="1" t="str">
        <f t="shared" si="6"/>
        <v>Q3</v>
      </c>
      <c r="E125" s="1" t="str">
        <f t="shared" si="7"/>
        <v>2025</v>
      </c>
      <c r="F125" t="s">
        <v>13</v>
      </c>
      <c r="G125" s="2">
        <v>1078</v>
      </c>
      <c r="H125" s="2">
        <v>1079.8</v>
      </c>
      <c r="I125" s="2">
        <v>1050</v>
      </c>
      <c r="J125" s="2">
        <v>1072.8</v>
      </c>
      <c r="K125" s="2">
        <v>1053</v>
      </c>
      <c r="L125" s="2">
        <v>1054.4000000000001</v>
      </c>
      <c r="M125" s="2">
        <v>1059.95</v>
      </c>
      <c r="N125" s="2">
        <v>1262.5999999999999</v>
      </c>
      <c r="O125" s="2">
        <v>882.9</v>
      </c>
      <c r="P125" s="2">
        <v>1180451</v>
      </c>
      <c r="Q125" s="2">
        <v>50778</v>
      </c>
      <c r="R125" s="2">
        <f>Table1[[#This Row],[HIGH]]-Table1[[#This Row],[LOW]]</f>
        <v>29.799999999999955</v>
      </c>
    </row>
    <row r="126" spans="1:18" x14ac:dyDescent="0.35">
      <c r="A126" s="1">
        <v>45862</v>
      </c>
      <c r="B126" s="1" t="str">
        <f t="shared" si="4"/>
        <v>Thursday</v>
      </c>
      <c r="C126" s="1" t="str">
        <f t="shared" si="5"/>
        <v>July</v>
      </c>
      <c r="D126" s="1" t="str">
        <f t="shared" si="6"/>
        <v>Q3</v>
      </c>
      <c r="E126" s="1" t="str">
        <f t="shared" si="7"/>
        <v>2025</v>
      </c>
      <c r="F126" t="s">
        <v>13</v>
      </c>
      <c r="G126" s="2">
        <v>1084</v>
      </c>
      <c r="H126" s="2">
        <v>1104.5</v>
      </c>
      <c r="I126" s="2">
        <v>1065.5</v>
      </c>
      <c r="J126" s="2">
        <v>1062.5999999999999</v>
      </c>
      <c r="K126" s="2">
        <v>1073</v>
      </c>
      <c r="L126" s="2">
        <v>1072.8</v>
      </c>
      <c r="M126" s="2">
        <v>1079.22</v>
      </c>
      <c r="N126" s="2">
        <v>1262.5999999999999</v>
      </c>
      <c r="O126" s="2">
        <v>882.9</v>
      </c>
      <c r="P126" s="2">
        <v>6264546</v>
      </c>
      <c r="Q126" s="2">
        <v>207826</v>
      </c>
      <c r="R126" s="2">
        <f>Table1[[#This Row],[HIGH]]-Table1[[#This Row],[LOW]]</f>
        <v>39</v>
      </c>
    </row>
    <row r="127" spans="1:18" x14ac:dyDescent="0.35">
      <c r="A127" s="1">
        <v>45861</v>
      </c>
      <c r="B127" s="1" t="str">
        <f t="shared" si="4"/>
        <v>Wednesday</v>
      </c>
      <c r="C127" s="1" t="str">
        <f t="shared" si="5"/>
        <v>July</v>
      </c>
      <c r="D127" s="1" t="str">
        <f t="shared" si="6"/>
        <v>Q3</v>
      </c>
      <c r="E127" s="1" t="str">
        <f t="shared" si="7"/>
        <v>2025</v>
      </c>
      <c r="F127" t="s">
        <v>13</v>
      </c>
      <c r="G127" s="2">
        <v>1085</v>
      </c>
      <c r="H127" s="2">
        <v>1087</v>
      </c>
      <c r="I127" s="2">
        <v>1051</v>
      </c>
      <c r="J127" s="2">
        <v>1084.8</v>
      </c>
      <c r="K127" s="2">
        <v>1064</v>
      </c>
      <c r="L127" s="2">
        <v>1062.5999999999999</v>
      </c>
      <c r="M127" s="2">
        <v>1062.8499999999999</v>
      </c>
      <c r="N127" s="2">
        <v>1262.5999999999999</v>
      </c>
      <c r="O127" s="2">
        <v>882.9</v>
      </c>
      <c r="P127" s="2">
        <v>1508414</v>
      </c>
      <c r="Q127" s="2">
        <v>51345</v>
      </c>
      <c r="R127" s="2">
        <f>Table1[[#This Row],[HIGH]]-Table1[[#This Row],[LOW]]</f>
        <v>36</v>
      </c>
    </row>
    <row r="128" spans="1:18" x14ac:dyDescent="0.35">
      <c r="A128" s="1">
        <v>45860</v>
      </c>
      <c r="B128" s="1" t="str">
        <f t="shared" si="4"/>
        <v>Tuesday</v>
      </c>
      <c r="C128" s="1" t="str">
        <f t="shared" si="5"/>
        <v>July</v>
      </c>
      <c r="D128" s="1" t="str">
        <f t="shared" si="6"/>
        <v>Q3</v>
      </c>
      <c r="E128" s="1" t="str">
        <f t="shared" si="7"/>
        <v>2025</v>
      </c>
      <c r="F128" t="s">
        <v>13</v>
      </c>
      <c r="G128" s="2">
        <v>1089.9000000000001</v>
      </c>
      <c r="H128" s="2">
        <v>1090.3</v>
      </c>
      <c r="I128" s="2">
        <v>1075.3</v>
      </c>
      <c r="J128" s="2">
        <v>1090.3</v>
      </c>
      <c r="K128" s="2">
        <v>1083</v>
      </c>
      <c r="L128" s="2">
        <v>1084.8</v>
      </c>
      <c r="M128" s="2">
        <v>1083.48</v>
      </c>
      <c r="N128" s="2">
        <v>1262.5999999999999</v>
      </c>
      <c r="O128" s="2">
        <v>882.9</v>
      </c>
      <c r="P128" s="2">
        <v>961735</v>
      </c>
      <c r="Q128" s="2">
        <v>26785</v>
      </c>
      <c r="R128" s="2">
        <f>Table1[[#This Row],[HIGH]]-Table1[[#This Row],[LOW]]</f>
        <v>15</v>
      </c>
    </row>
    <row r="129" spans="1:18" x14ac:dyDescent="0.35">
      <c r="A129" s="1">
        <v>45859</v>
      </c>
      <c r="B129" s="1" t="str">
        <f t="shared" si="4"/>
        <v>Monday</v>
      </c>
      <c r="C129" s="1" t="str">
        <f t="shared" si="5"/>
        <v>July</v>
      </c>
      <c r="D129" s="1" t="str">
        <f t="shared" si="6"/>
        <v>Q3</v>
      </c>
      <c r="E129" s="1" t="str">
        <f t="shared" si="7"/>
        <v>2025</v>
      </c>
      <c r="F129" t="s">
        <v>13</v>
      </c>
      <c r="G129" s="2">
        <v>1095.8</v>
      </c>
      <c r="H129" s="2">
        <v>1095.8</v>
      </c>
      <c r="I129" s="2">
        <v>1077</v>
      </c>
      <c r="J129" s="2">
        <v>1095.9000000000001</v>
      </c>
      <c r="K129" s="2">
        <v>1089.8</v>
      </c>
      <c r="L129" s="2">
        <v>1090.3</v>
      </c>
      <c r="M129" s="2">
        <v>1086.45</v>
      </c>
      <c r="N129" s="2">
        <v>1262.5999999999999</v>
      </c>
      <c r="O129" s="2">
        <v>882.9</v>
      </c>
      <c r="P129" s="2">
        <v>805610</v>
      </c>
      <c r="Q129" s="2">
        <v>37515</v>
      </c>
      <c r="R129" s="2">
        <f>Table1[[#This Row],[HIGH]]-Table1[[#This Row],[LOW]]</f>
        <v>18.799999999999955</v>
      </c>
    </row>
    <row r="130" spans="1:18" x14ac:dyDescent="0.35">
      <c r="A130" s="1">
        <v>45856</v>
      </c>
      <c r="B130" s="1" t="str">
        <f t="shared" si="4"/>
        <v>Friday</v>
      </c>
      <c r="C130" s="1" t="str">
        <f t="shared" si="5"/>
        <v>July</v>
      </c>
      <c r="D130" s="1" t="str">
        <f t="shared" si="6"/>
        <v>Q3</v>
      </c>
      <c r="E130" s="1" t="str">
        <f t="shared" si="7"/>
        <v>2025</v>
      </c>
      <c r="F130" t="s">
        <v>13</v>
      </c>
      <c r="G130" s="2">
        <v>1106</v>
      </c>
      <c r="H130" s="2">
        <v>1108.3</v>
      </c>
      <c r="I130" s="2">
        <v>1093.5</v>
      </c>
      <c r="J130" s="2">
        <v>1105.8</v>
      </c>
      <c r="K130" s="2">
        <v>1097.9000000000001</v>
      </c>
      <c r="L130" s="2">
        <v>1095.9000000000001</v>
      </c>
      <c r="M130" s="2">
        <v>1098.6199999999999</v>
      </c>
      <c r="N130" s="2">
        <v>1262.5999999999999</v>
      </c>
      <c r="O130" s="2">
        <v>882.9</v>
      </c>
      <c r="P130" s="2">
        <v>844437</v>
      </c>
      <c r="Q130" s="2">
        <v>27784</v>
      </c>
      <c r="R130" s="2">
        <f>Table1[[#This Row],[HIGH]]-Table1[[#This Row],[LOW]]</f>
        <v>14.799999999999955</v>
      </c>
    </row>
    <row r="131" spans="1:18" x14ac:dyDescent="0.35">
      <c r="A131" s="1">
        <v>45855</v>
      </c>
      <c r="B131" s="1" t="str">
        <f t="shared" ref="B131:B194" si="8">TEXT(A131,"dddd")</f>
        <v>Thursday</v>
      </c>
      <c r="C131" s="1" t="str">
        <f t="shared" ref="C131:C194" si="9">TEXT(A131,"mmmm")</f>
        <v>July</v>
      </c>
      <c r="D131" s="1" t="str">
        <f t="shared" ref="D131:D194" si="10">"Q"&amp;ROUNDUP(MONTH(A131)/3,0)</f>
        <v>Q3</v>
      </c>
      <c r="E131" s="1" t="str">
        <f t="shared" ref="E131:E194" si="11">TEXT(A131,"yyyy")</f>
        <v>2025</v>
      </c>
      <c r="F131" t="s">
        <v>13</v>
      </c>
      <c r="G131" s="2">
        <v>1081.5</v>
      </c>
      <c r="H131" s="2">
        <v>1109.7</v>
      </c>
      <c r="I131" s="2">
        <v>1080</v>
      </c>
      <c r="J131" s="2">
        <v>1081.5</v>
      </c>
      <c r="K131" s="2">
        <v>1103.2</v>
      </c>
      <c r="L131" s="2">
        <v>1105.8</v>
      </c>
      <c r="M131" s="2">
        <v>1100.52</v>
      </c>
      <c r="N131" s="2">
        <v>1262.5999999999999</v>
      </c>
      <c r="O131" s="2">
        <v>882.9</v>
      </c>
      <c r="P131" s="2">
        <v>1193262</v>
      </c>
      <c r="Q131" s="2">
        <v>46152</v>
      </c>
      <c r="R131" s="2">
        <f>Table1[[#This Row],[HIGH]]-Table1[[#This Row],[LOW]]</f>
        <v>29.700000000000045</v>
      </c>
    </row>
    <row r="132" spans="1:18" x14ac:dyDescent="0.35">
      <c r="A132" s="1">
        <v>45854</v>
      </c>
      <c r="B132" s="1" t="str">
        <f t="shared" si="8"/>
        <v>Wednesday</v>
      </c>
      <c r="C132" s="1" t="str">
        <f t="shared" si="9"/>
        <v>July</v>
      </c>
      <c r="D132" s="1" t="str">
        <f t="shared" si="10"/>
        <v>Q3</v>
      </c>
      <c r="E132" s="1" t="str">
        <f t="shared" si="11"/>
        <v>2025</v>
      </c>
      <c r="F132" t="s">
        <v>13</v>
      </c>
      <c r="G132" s="2">
        <v>1081.8</v>
      </c>
      <c r="H132" s="2">
        <v>1089.9000000000001</v>
      </c>
      <c r="I132" s="2">
        <v>1068.2</v>
      </c>
      <c r="J132" s="2">
        <v>1081.8</v>
      </c>
      <c r="K132" s="2">
        <v>1082</v>
      </c>
      <c r="L132" s="2">
        <v>1081.5</v>
      </c>
      <c r="M132" s="2">
        <v>1078.1199999999999</v>
      </c>
      <c r="N132" s="2">
        <v>1262.5999999999999</v>
      </c>
      <c r="O132" s="2">
        <v>882.9</v>
      </c>
      <c r="P132" s="2">
        <v>1753658</v>
      </c>
      <c r="Q132" s="2">
        <v>59855</v>
      </c>
      <c r="R132" s="2">
        <f>Table1[[#This Row],[HIGH]]-Table1[[#This Row],[LOW]]</f>
        <v>21.700000000000045</v>
      </c>
    </row>
    <row r="133" spans="1:18" x14ac:dyDescent="0.35">
      <c r="A133" s="1">
        <v>45853</v>
      </c>
      <c r="B133" s="1" t="str">
        <f t="shared" si="8"/>
        <v>Tuesday</v>
      </c>
      <c r="C133" s="1" t="str">
        <f t="shared" si="9"/>
        <v>July</v>
      </c>
      <c r="D133" s="1" t="str">
        <f t="shared" si="10"/>
        <v>Q3</v>
      </c>
      <c r="E133" s="1" t="str">
        <f t="shared" si="11"/>
        <v>2025</v>
      </c>
      <c r="F133" t="s">
        <v>13</v>
      </c>
      <c r="G133" s="2">
        <v>1071.8</v>
      </c>
      <c r="H133" s="2">
        <v>1085</v>
      </c>
      <c r="I133" s="2">
        <v>1067.5</v>
      </c>
      <c r="J133" s="2">
        <v>1071.8</v>
      </c>
      <c r="K133" s="2">
        <v>1082.7</v>
      </c>
      <c r="L133" s="2">
        <v>1081.8</v>
      </c>
      <c r="M133" s="2">
        <v>1078.1199999999999</v>
      </c>
      <c r="N133" s="2">
        <v>1262.5999999999999</v>
      </c>
      <c r="O133" s="2">
        <v>882.9</v>
      </c>
      <c r="P133" s="2">
        <v>538506</v>
      </c>
      <c r="Q133" s="2">
        <v>34558</v>
      </c>
      <c r="R133" s="2">
        <f>Table1[[#This Row],[HIGH]]-Table1[[#This Row],[LOW]]</f>
        <v>17.5</v>
      </c>
    </row>
    <row r="134" spans="1:18" x14ac:dyDescent="0.35">
      <c r="A134" s="1">
        <v>45852</v>
      </c>
      <c r="B134" s="1" t="str">
        <f t="shared" si="8"/>
        <v>Monday</v>
      </c>
      <c r="C134" s="1" t="str">
        <f t="shared" si="9"/>
        <v>July</v>
      </c>
      <c r="D134" s="1" t="str">
        <f t="shared" si="10"/>
        <v>Q3</v>
      </c>
      <c r="E134" s="1" t="str">
        <f t="shared" si="11"/>
        <v>2025</v>
      </c>
      <c r="F134" t="s">
        <v>13</v>
      </c>
      <c r="G134" s="2">
        <v>1076.8</v>
      </c>
      <c r="H134" s="2">
        <v>1083.5</v>
      </c>
      <c r="I134" s="2">
        <v>1070</v>
      </c>
      <c r="J134" s="2">
        <v>1076.8</v>
      </c>
      <c r="K134" s="2">
        <v>1071</v>
      </c>
      <c r="L134" s="2">
        <v>1071.8</v>
      </c>
      <c r="M134" s="2">
        <v>1074.8599999999999</v>
      </c>
      <c r="N134" s="2">
        <v>1262.5999999999999</v>
      </c>
      <c r="O134" s="2">
        <v>882.9</v>
      </c>
      <c r="P134" s="2">
        <v>770739</v>
      </c>
      <c r="Q134" s="2">
        <v>52338</v>
      </c>
      <c r="R134" s="2">
        <f>Table1[[#This Row],[HIGH]]-Table1[[#This Row],[LOW]]</f>
        <v>13.5</v>
      </c>
    </row>
    <row r="135" spans="1:18" x14ac:dyDescent="0.35">
      <c r="A135" s="1">
        <v>45849</v>
      </c>
      <c r="B135" s="1" t="str">
        <f t="shared" si="8"/>
        <v>Friday</v>
      </c>
      <c r="C135" s="1" t="str">
        <f t="shared" si="9"/>
        <v>July</v>
      </c>
      <c r="D135" s="1" t="str">
        <f t="shared" si="10"/>
        <v>Q3</v>
      </c>
      <c r="E135" s="1" t="str">
        <f t="shared" si="11"/>
        <v>2025</v>
      </c>
      <c r="F135" t="s">
        <v>13</v>
      </c>
      <c r="G135" s="2">
        <v>1083.9000000000001</v>
      </c>
      <c r="H135" s="2">
        <v>1101.8</v>
      </c>
      <c r="I135" s="2">
        <v>1074</v>
      </c>
      <c r="J135" s="2">
        <v>1088.9000000000001</v>
      </c>
      <c r="K135" s="2">
        <v>1076</v>
      </c>
      <c r="L135" s="2">
        <v>1076.8</v>
      </c>
      <c r="M135" s="2">
        <v>1086.2</v>
      </c>
      <c r="N135" s="2">
        <v>1262.5999999999999</v>
      </c>
      <c r="O135" s="2">
        <v>882.9</v>
      </c>
      <c r="P135" s="2">
        <v>983485</v>
      </c>
      <c r="Q135" s="2">
        <v>51670</v>
      </c>
      <c r="R135" s="2">
        <f>Table1[[#This Row],[HIGH]]-Table1[[#This Row],[LOW]]</f>
        <v>27.799999999999955</v>
      </c>
    </row>
    <row r="136" spans="1:18" x14ac:dyDescent="0.35">
      <c r="A136" s="1">
        <v>45848</v>
      </c>
      <c r="B136" s="1" t="str">
        <f t="shared" si="8"/>
        <v>Thursday</v>
      </c>
      <c r="C136" s="1" t="str">
        <f t="shared" si="9"/>
        <v>July</v>
      </c>
      <c r="D136" s="1" t="str">
        <f t="shared" si="10"/>
        <v>Q3</v>
      </c>
      <c r="E136" s="1" t="str">
        <f t="shared" si="11"/>
        <v>2025</v>
      </c>
      <c r="F136" t="s">
        <v>13</v>
      </c>
      <c r="G136" s="2">
        <v>1097.9000000000001</v>
      </c>
      <c r="H136" s="2">
        <v>1103.7</v>
      </c>
      <c r="I136" s="2">
        <v>1080.0999999999999</v>
      </c>
      <c r="J136" s="2">
        <v>1097.9000000000001</v>
      </c>
      <c r="K136" s="2">
        <v>1086</v>
      </c>
      <c r="L136" s="2">
        <v>1088.9000000000001</v>
      </c>
      <c r="M136" s="2">
        <v>1093.98</v>
      </c>
      <c r="N136" s="2">
        <v>1262.5999999999999</v>
      </c>
      <c r="O136" s="2">
        <v>882.9</v>
      </c>
      <c r="P136" s="2">
        <v>533377</v>
      </c>
      <c r="Q136" s="2">
        <v>31947</v>
      </c>
      <c r="R136" s="2">
        <f>Table1[[#This Row],[HIGH]]-Table1[[#This Row],[LOW]]</f>
        <v>23.600000000000136</v>
      </c>
    </row>
    <row r="137" spans="1:18" x14ac:dyDescent="0.35">
      <c r="A137" s="1">
        <v>45847</v>
      </c>
      <c r="B137" s="1" t="str">
        <f t="shared" si="8"/>
        <v>Wednesday</v>
      </c>
      <c r="C137" s="1" t="str">
        <f t="shared" si="9"/>
        <v>July</v>
      </c>
      <c r="D137" s="1" t="str">
        <f t="shared" si="10"/>
        <v>Q3</v>
      </c>
      <c r="E137" s="1" t="str">
        <f t="shared" si="11"/>
        <v>2025</v>
      </c>
      <c r="F137" t="s">
        <v>13</v>
      </c>
      <c r="G137" s="2">
        <v>1100</v>
      </c>
      <c r="H137" s="2">
        <v>1107.4000000000001</v>
      </c>
      <c r="I137" s="2">
        <v>1091.5999999999999</v>
      </c>
      <c r="J137" s="2">
        <v>1099.9000000000001</v>
      </c>
      <c r="K137" s="2">
        <v>1095.5999999999999</v>
      </c>
      <c r="L137" s="2">
        <v>1097.9000000000001</v>
      </c>
      <c r="M137" s="2">
        <v>1099.6500000000001</v>
      </c>
      <c r="N137" s="2">
        <v>1262.5999999999999</v>
      </c>
      <c r="O137" s="2">
        <v>882.9</v>
      </c>
      <c r="P137" s="2">
        <v>752158</v>
      </c>
      <c r="Q137" s="2">
        <v>29286</v>
      </c>
      <c r="R137" s="2">
        <f>Table1[[#This Row],[HIGH]]-Table1[[#This Row],[LOW]]</f>
        <v>15.800000000000182</v>
      </c>
    </row>
    <row r="138" spans="1:18" x14ac:dyDescent="0.35">
      <c r="A138" s="1">
        <v>45846</v>
      </c>
      <c r="B138" s="1" t="str">
        <f t="shared" si="8"/>
        <v>Tuesday</v>
      </c>
      <c r="C138" s="1" t="str">
        <f t="shared" si="9"/>
        <v>July</v>
      </c>
      <c r="D138" s="1" t="str">
        <f t="shared" si="10"/>
        <v>Q3</v>
      </c>
      <c r="E138" s="1" t="str">
        <f t="shared" si="11"/>
        <v>2025</v>
      </c>
      <c r="F138" t="s">
        <v>13</v>
      </c>
      <c r="G138" s="2">
        <v>1108</v>
      </c>
      <c r="H138" s="2">
        <v>1108.5999999999999</v>
      </c>
      <c r="I138" s="2">
        <v>1093.5</v>
      </c>
      <c r="J138" s="2">
        <v>1101.9000000000001</v>
      </c>
      <c r="K138" s="2">
        <v>1100</v>
      </c>
      <c r="L138" s="2">
        <v>1099.9000000000001</v>
      </c>
      <c r="M138" s="2">
        <v>1100.4000000000001</v>
      </c>
      <c r="N138" s="2">
        <v>1262.5999999999999</v>
      </c>
      <c r="O138" s="2">
        <v>882.9</v>
      </c>
      <c r="P138" s="2">
        <v>605639</v>
      </c>
      <c r="Q138" s="2">
        <v>28696</v>
      </c>
      <c r="R138" s="2">
        <f>Table1[[#This Row],[HIGH]]-Table1[[#This Row],[LOW]]</f>
        <v>15.099999999999909</v>
      </c>
    </row>
    <row r="139" spans="1:18" x14ac:dyDescent="0.35">
      <c r="A139" s="1">
        <v>45845</v>
      </c>
      <c r="B139" s="1" t="str">
        <f t="shared" si="8"/>
        <v>Monday</v>
      </c>
      <c r="C139" s="1" t="str">
        <f t="shared" si="9"/>
        <v>July</v>
      </c>
      <c r="D139" s="1" t="str">
        <f t="shared" si="10"/>
        <v>Q3</v>
      </c>
      <c r="E139" s="1" t="str">
        <f t="shared" si="11"/>
        <v>2025</v>
      </c>
      <c r="F139" t="s">
        <v>13</v>
      </c>
      <c r="G139" s="2">
        <v>1085</v>
      </c>
      <c r="H139" s="2">
        <v>1108.2</v>
      </c>
      <c r="I139" s="2">
        <v>1085</v>
      </c>
      <c r="J139" s="2">
        <v>1089.7</v>
      </c>
      <c r="K139" s="2">
        <v>1106</v>
      </c>
      <c r="L139" s="2">
        <v>1101.9000000000001</v>
      </c>
      <c r="M139" s="2">
        <v>1101.1500000000001</v>
      </c>
      <c r="N139" s="2">
        <v>1262.5999999999999</v>
      </c>
      <c r="O139" s="2">
        <v>882.9</v>
      </c>
      <c r="P139" s="2">
        <v>1152136</v>
      </c>
      <c r="Q139" s="2">
        <v>60654</v>
      </c>
      <c r="R139" s="2">
        <f>Table1[[#This Row],[HIGH]]-Table1[[#This Row],[LOW]]</f>
        <v>23.200000000000045</v>
      </c>
    </row>
    <row r="140" spans="1:18" x14ac:dyDescent="0.35">
      <c r="A140" s="1">
        <v>45842</v>
      </c>
      <c r="B140" s="1" t="str">
        <f t="shared" si="8"/>
        <v>Friday</v>
      </c>
      <c r="C140" s="1" t="str">
        <f t="shared" si="9"/>
        <v>July</v>
      </c>
      <c r="D140" s="1" t="str">
        <f t="shared" si="10"/>
        <v>Q3</v>
      </c>
      <c r="E140" s="1" t="str">
        <f t="shared" si="11"/>
        <v>2025</v>
      </c>
      <c r="F140" t="s">
        <v>13</v>
      </c>
      <c r="G140" s="2">
        <v>1091</v>
      </c>
      <c r="H140" s="2">
        <v>1095</v>
      </c>
      <c r="I140" s="2">
        <v>1082</v>
      </c>
      <c r="J140" s="2">
        <v>1089.4000000000001</v>
      </c>
      <c r="K140" s="2">
        <v>1089.5</v>
      </c>
      <c r="L140" s="2">
        <v>1089.7</v>
      </c>
      <c r="M140" s="2">
        <v>1086.1500000000001</v>
      </c>
      <c r="N140" s="2">
        <v>1262.5999999999999</v>
      </c>
      <c r="O140" s="2">
        <v>882.9</v>
      </c>
      <c r="P140" s="2">
        <v>573351</v>
      </c>
      <c r="Q140" s="2">
        <v>24715</v>
      </c>
      <c r="R140" s="2">
        <f>Table1[[#This Row],[HIGH]]-Table1[[#This Row],[LOW]]</f>
        <v>13</v>
      </c>
    </row>
    <row r="141" spans="1:18" x14ac:dyDescent="0.35">
      <c r="A141" s="1">
        <v>45841</v>
      </c>
      <c r="B141" s="1" t="str">
        <f t="shared" si="8"/>
        <v>Thursday</v>
      </c>
      <c r="C141" s="1" t="str">
        <f t="shared" si="9"/>
        <v>July</v>
      </c>
      <c r="D141" s="1" t="str">
        <f t="shared" si="10"/>
        <v>Q3</v>
      </c>
      <c r="E141" s="1" t="str">
        <f t="shared" si="11"/>
        <v>2025</v>
      </c>
      <c r="F141" t="s">
        <v>13</v>
      </c>
      <c r="G141" s="2">
        <v>1096</v>
      </c>
      <c r="H141" s="2">
        <v>1105.8</v>
      </c>
      <c r="I141" s="2">
        <v>1086.7</v>
      </c>
      <c r="J141" s="2">
        <v>1095.8</v>
      </c>
      <c r="K141" s="2">
        <v>1090</v>
      </c>
      <c r="L141" s="2">
        <v>1089.4000000000001</v>
      </c>
      <c r="M141" s="2">
        <v>1094.29</v>
      </c>
      <c r="N141" s="2">
        <v>1262.5999999999999</v>
      </c>
      <c r="O141" s="2">
        <v>882.9</v>
      </c>
      <c r="P141" s="2">
        <v>730322</v>
      </c>
      <c r="Q141" s="2">
        <v>38864</v>
      </c>
      <c r="R141" s="2">
        <f>Table1[[#This Row],[HIGH]]-Table1[[#This Row],[LOW]]</f>
        <v>19.099999999999909</v>
      </c>
    </row>
    <row r="142" spans="1:18" x14ac:dyDescent="0.35">
      <c r="A142" s="1">
        <v>45840</v>
      </c>
      <c r="B142" s="1" t="str">
        <f t="shared" si="8"/>
        <v>Wednesday</v>
      </c>
      <c r="C142" s="1" t="str">
        <f t="shared" si="9"/>
        <v>July</v>
      </c>
      <c r="D142" s="1" t="str">
        <f t="shared" si="10"/>
        <v>Q3</v>
      </c>
      <c r="E142" s="1" t="str">
        <f t="shared" si="11"/>
        <v>2025</v>
      </c>
      <c r="F142" t="s">
        <v>13</v>
      </c>
      <c r="G142" s="2">
        <v>1094</v>
      </c>
      <c r="H142" s="2">
        <v>1098.3</v>
      </c>
      <c r="I142" s="2">
        <v>1084</v>
      </c>
      <c r="J142" s="2">
        <v>1095.5999999999999</v>
      </c>
      <c r="K142" s="2">
        <v>1098</v>
      </c>
      <c r="L142" s="2">
        <v>1095.8</v>
      </c>
      <c r="M142" s="2">
        <v>1091.44</v>
      </c>
      <c r="N142" s="2">
        <v>1262.5999999999999</v>
      </c>
      <c r="O142" s="2">
        <v>882.9</v>
      </c>
      <c r="P142" s="2">
        <v>1230645</v>
      </c>
      <c r="Q142" s="2">
        <v>46806</v>
      </c>
      <c r="R142" s="2">
        <f>Table1[[#This Row],[HIGH]]-Table1[[#This Row],[LOW]]</f>
        <v>14.299999999999955</v>
      </c>
    </row>
    <row r="143" spans="1:18" x14ac:dyDescent="0.35">
      <c r="A143" s="1">
        <v>45839</v>
      </c>
      <c r="B143" s="1" t="str">
        <f t="shared" si="8"/>
        <v>Tuesday</v>
      </c>
      <c r="C143" s="1" t="str">
        <f t="shared" si="9"/>
        <v>July</v>
      </c>
      <c r="D143" s="1" t="str">
        <f t="shared" si="10"/>
        <v>Q3</v>
      </c>
      <c r="E143" s="1" t="str">
        <f t="shared" si="11"/>
        <v>2025</v>
      </c>
      <c r="F143" t="s">
        <v>13</v>
      </c>
      <c r="G143" s="2">
        <v>1098.9000000000001</v>
      </c>
      <c r="H143" s="2">
        <v>1100.7</v>
      </c>
      <c r="I143" s="2">
        <v>1085.9000000000001</v>
      </c>
      <c r="J143" s="2">
        <v>1098.9000000000001</v>
      </c>
      <c r="K143" s="2">
        <v>1096</v>
      </c>
      <c r="L143" s="2">
        <v>1095.5999999999999</v>
      </c>
      <c r="M143" s="2">
        <v>1093.18</v>
      </c>
      <c r="N143" s="2">
        <v>1262.5999999999999</v>
      </c>
      <c r="O143" s="2">
        <v>882.9</v>
      </c>
      <c r="P143" s="2">
        <v>971874</v>
      </c>
      <c r="Q143" s="2">
        <v>63068</v>
      </c>
      <c r="R143" s="2">
        <f>Table1[[#This Row],[HIGH]]-Table1[[#This Row],[LOW]]</f>
        <v>14.799999999999955</v>
      </c>
    </row>
    <row r="144" spans="1:18" x14ac:dyDescent="0.35">
      <c r="A144" s="1">
        <v>45838</v>
      </c>
      <c r="B144" s="1" t="str">
        <f t="shared" si="8"/>
        <v>Monday</v>
      </c>
      <c r="C144" s="1" t="str">
        <f t="shared" si="9"/>
        <v>June</v>
      </c>
      <c r="D144" s="1" t="str">
        <f t="shared" si="10"/>
        <v>Q2</v>
      </c>
      <c r="E144" s="1" t="str">
        <f t="shared" si="11"/>
        <v>2025</v>
      </c>
      <c r="F144" t="s">
        <v>13</v>
      </c>
      <c r="G144" s="2">
        <v>1124</v>
      </c>
      <c r="H144" s="2">
        <v>1126.7</v>
      </c>
      <c r="I144" s="2">
        <v>1090.5999999999999</v>
      </c>
      <c r="J144" s="2">
        <v>1124.3</v>
      </c>
      <c r="K144" s="2">
        <v>1098</v>
      </c>
      <c r="L144" s="2">
        <v>1098.9000000000001</v>
      </c>
      <c r="M144" s="2">
        <v>1099.04</v>
      </c>
      <c r="N144" s="2">
        <v>1262.5999999999999</v>
      </c>
      <c r="O144" s="2">
        <v>882.9</v>
      </c>
      <c r="P144" s="2">
        <v>1836286</v>
      </c>
      <c r="Q144" s="2">
        <v>71404</v>
      </c>
      <c r="R144" s="2">
        <f>Table1[[#This Row],[HIGH]]-Table1[[#This Row],[LOW]]</f>
        <v>36.100000000000136</v>
      </c>
    </row>
    <row r="145" spans="1:18" x14ac:dyDescent="0.35">
      <c r="A145" s="1">
        <v>45835</v>
      </c>
      <c r="B145" s="1" t="str">
        <f t="shared" si="8"/>
        <v>Friday</v>
      </c>
      <c r="C145" s="1" t="str">
        <f t="shared" si="9"/>
        <v>June</v>
      </c>
      <c r="D145" s="1" t="str">
        <f t="shared" si="10"/>
        <v>Q2</v>
      </c>
      <c r="E145" s="1" t="str">
        <f t="shared" si="11"/>
        <v>2025</v>
      </c>
      <c r="F145" t="s">
        <v>13</v>
      </c>
      <c r="G145" s="2">
        <v>1144</v>
      </c>
      <c r="H145" s="2">
        <v>1147.2</v>
      </c>
      <c r="I145" s="2">
        <v>1120</v>
      </c>
      <c r="J145" s="2">
        <v>1145.4000000000001</v>
      </c>
      <c r="K145" s="2">
        <v>1121</v>
      </c>
      <c r="L145" s="2">
        <v>1124.3</v>
      </c>
      <c r="M145" s="2">
        <v>1129.51</v>
      </c>
      <c r="N145" s="2">
        <v>1262.5999999999999</v>
      </c>
      <c r="O145" s="2">
        <v>882.9</v>
      </c>
      <c r="P145" s="2">
        <v>622376</v>
      </c>
      <c r="Q145" s="2">
        <v>36488</v>
      </c>
      <c r="R145" s="2">
        <f>Table1[[#This Row],[HIGH]]-Table1[[#This Row],[LOW]]</f>
        <v>27.200000000000045</v>
      </c>
    </row>
    <row r="146" spans="1:18" x14ac:dyDescent="0.35">
      <c r="A146" s="1">
        <v>45834</v>
      </c>
      <c r="B146" s="1" t="str">
        <f t="shared" si="8"/>
        <v>Thursday</v>
      </c>
      <c r="C146" s="1" t="str">
        <f t="shared" si="9"/>
        <v>June</v>
      </c>
      <c r="D146" s="1" t="str">
        <f t="shared" si="10"/>
        <v>Q2</v>
      </c>
      <c r="E146" s="1" t="str">
        <f t="shared" si="11"/>
        <v>2025</v>
      </c>
      <c r="F146" t="s">
        <v>13</v>
      </c>
      <c r="G146" s="2">
        <v>1122</v>
      </c>
      <c r="H146" s="2">
        <v>1150</v>
      </c>
      <c r="I146" s="2">
        <v>1119.0999999999999</v>
      </c>
      <c r="J146" s="2">
        <v>1126.5</v>
      </c>
      <c r="K146" s="2">
        <v>1148.7</v>
      </c>
      <c r="L146" s="2">
        <v>1145.4000000000001</v>
      </c>
      <c r="M146" s="2">
        <v>1135.96</v>
      </c>
      <c r="N146" s="2">
        <v>1262.5999999999999</v>
      </c>
      <c r="O146" s="2">
        <v>882.9</v>
      </c>
      <c r="P146" s="2">
        <v>2236678</v>
      </c>
      <c r="Q146" s="2">
        <v>80197</v>
      </c>
      <c r="R146" s="2">
        <f>Table1[[#This Row],[HIGH]]-Table1[[#This Row],[LOW]]</f>
        <v>30.900000000000091</v>
      </c>
    </row>
    <row r="147" spans="1:18" x14ac:dyDescent="0.35">
      <c r="A147" s="1">
        <v>45833</v>
      </c>
      <c r="B147" s="1" t="str">
        <f t="shared" si="8"/>
        <v>Wednesday</v>
      </c>
      <c r="C147" s="1" t="str">
        <f t="shared" si="9"/>
        <v>June</v>
      </c>
      <c r="D147" s="1" t="str">
        <f t="shared" si="10"/>
        <v>Q2</v>
      </c>
      <c r="E147" s="1" t="str">
        <f t="shared" si="11"/>
        <v>2025</v>
      </c>
      <c r="F147" t="s">
        <v>13</v>
      </c>
      <c r="G147" s="2">
        <v>1107.7</v>
      </c>
      <c r="H147" s="2">
        <v>1133.9000000000001</v>
      </c>
      <c r="I147" s="2">
        <v>1106.5999999999999</v>
      </c>
      <c r="J147" s="2">
        <v>1107.7</v>
      </c>
      <c r="K147" s="2">
        <v>1125</v>
      </c>
      <c r="L147" s="2">
        <v>1126.5</v>
      </c>
      <c r="M147" s="2">
        <v>1126.71</v>
      </c>
      <c r="N147" s="2">
        <v>1262.5999999999999</v>
      </c>
      <c r="O147" s="2">
        <v>882.9</v>
      </c>
      <c r="P147" s="2">
        <v>1564437</v>
      </c>
      <c r="Q147" s="2">
        <v>58691</v>
      </c>
      <c r="R147" s="2">
        <f>Table1[[#This Row],[HIGH]]-Table1[[#This Row],[LOW]]</f>
        <v>27.300000000000182</v>
      </c>
    </row>
    <row r="148" spans="1:18" x14ac:dyDescent="0.35">
      <c r="A148" s="1">
        <v>45832</v>
      </c>
      <c r="B148" s="1" t="str">
        <f t="shared" si="8"/>
        <v>Tuesday</v>
      </c>
      <c r="C148" s="1" t="str">
        <f t="shared" si="9"/>
        <v>June</v>
      </c>
      <c r="D148" s="1" t="str">
        <f t="shared" si="10"/>
        <v>Q2</v>
      </c>
      <c r="E148" s="1" t="str">
        <f t="shared" si="11"/>
        <v>2025</v>
      </c>
      <c r="F148" t="s">
        <v>13</v>
      </c>
      <c r="G148" s="2">
        <v>1112</v>
      </c>
      <c r="H148" s="2">
        <v>1116.9000000000001</v>
      </c>
      <c r="I148" s="2">
        <v>1104.4000000000001</v>
      </c>
      <c r="J148" s="2">
        <v>1109.4000000000001</v>
      </c>
      <c r="K148" s="2">
        <v>1110.5</v>
      </c>
      <c r="L148" s="2">
        <v>1107.7</v>
      </c>
      <c r="M148" s="2">
        <v>1109.96</v>
      </c>
      <c r="N148" s="2">
        <v>1262.5999999999999</v>
      </c>
      <c r="O148" s="2">
        <v>882.9</v>
      </c>
      <c r="P148" s="2">
        <v>1134930</v>
      </c>
      <c r="Q148" s="2">
        <v>47724</v>
      </c>
      <c r="R148" s="2">
        <f>Table1[[#This Row],[HIGH]]-Table1[[#This Row],[LOW]]</f>
        <v>12.5</v>
      </c>
    </row>
    <row r="149" spans="1:18" x14ac:dyDescent="0.35">
      <c r="A149" s="1">
        <v>45831</v>
      </c>
      <c r="B149" s="1" t="str">
        <f t="shared" si="8"/>
        <v>Monday</v>
      </c>
      <c r="C149" s="1" t="str">
        <f t="shared" si="9"/>
        <v>June</v>
      </c>
      <c r="D149" s="1" t="str">
        <f t="shared" si="10"/>
        <v>Q2</v>
      </c>
      <c r="E149" s="1" t="str">
        <f t="shared" si="11"/>
        <v>2025</v>
      </c>
      <c r="F149" t="s">
        <v>13</v>
      </c>
      <c r="G149" s="2">
        <v>1090</v>
      </c>
      <c r="H149" s="2">
        <v>1112</v>
      </c>
      <c r="I149" s="2">
        <v>1090</v>
      </c>
      <c r="J149" s="2">
        <v>1100.2</v>
      </c>
      <c r="K149" s="2">
        <v>1110.8</v>
      </c>
      <c r="L149" s="2">
        <v>1109.4000000000001</v>
      </c>
      <c r="M149" s="2">
        <v>1102.8599999999999</v>
      </c>
      <c r="N149" s="2">
        <v>1262.5999999999999</v>
      </c>
      <c r="O149" s="2">
        <v>882.9</v>
      </c>
      <c r="P149" s="2">
        <v>758904</v>
      </c>
      <c r="Q149" s="2">
        <v>32440</v>
      </c>
      <c r="R149" s="2">
        <f>Table1[[#This Row],[HIGH]]-Table1[[#This Row],[LOW]]</f>
        <v>22</v>
      </c>
    </row>
    <row r="150" spans="1:18" x14ac:dyDescent="0.35">
      <c r="A150" s="1">
        <v>45828</v>
      </c>
      <c r="B150" s="1" t="str">
        <f t="shared" si="8"/>
        <v>Friday</v>
      </c>
      <c r="C150" s="1" t="str">
        <f t="shared" si="9"/>
        <v>June</v>
      </c>
      <c r="D150" s="1" t="str">
        <f t="shared" si="10"/>
        <v>Q2</v>
      </c>
      <c r="E150" s="1" t="str">
        <f t="shared" si="11"/>
        <v>2025</v>
      </c>
      <c r="F150" t="s">
        <v>13</v>
      </c>
      <c r="G150" s="2">
        <v>1088.3</v>
      </c>
      <c r="H150" s="2">
        <v>1103</v>
      </c>
      <c r="I150" s="2">
        <v>1082.7</v>
      </c>
      <c r="J150" s="2">
        <v>1088.3</v>
      </c>
      <c r="K150" s="2">
        <v>1090.9000000000001</v>
      </c>
      <c r="L150" s="2">
        <v>1100.2</v>
      </c>
      <c r="M150" s="2">
        <v>1096.1500000000001</v>
      </c>
      <c r="N150" s="2">
        <v>1262.5999999999999</v>
      </c>
      <c r="O150" s="2">
        <v>882.9</v>
      </c>
      <c r="P150" s="2">
        <v>2084108</v>
      </c>
      <c r="Q150" s="2">
        <v>63390</v>
      </c>
      <c r="R150" s="2">
        <f>Table1[[#This Row],[HIGH]]-Table1[[#This Row],[LOW]]</f>
        <v>20.299999999999955</v>
      </c>
    </row>
    <row r="151" spans="1:18" x14ac:dyDescent="0.35">
      <c r="A151" s="1">
        <v>45827</v>
      </c>
      <c r="B151" s="1" t="str">
        <f t="shared" si="8"/>
        <v>Thursday</v>
      </c>
      <c r="C151" s="1" t="str">
        <f t="shared" si="9"/>
        <v>June</v>
      </c>
      <c r="D151" s="1" t="str">
        <f t="shared" si="10"/>
        <v>Q2</v>
      </c>
      <c r="E151" s="1" t="str">
        <f t="shared" si="11"/>
        <v>2025</v>
      </c>
      <c r="F151" t="s">
        <v>13</v>
      </c>
      <c r="G151" s="2">
        <v>1065.2</v>
      </c>
      <c r="H151" s="2">
        <v>1091.5999999999999</v>
      </c>
      <c r="I151" s="2">
        <v>1061.5999999999999</v>
      </c>
      <c r="J151" s="2">
        <v>1065.2</v>
      </c>
      <c r="K151" s="2">
        <v>1088</v>
      </c>
      <c r="L151" s="2">
        <v>1088.3</v>
      </c>
      <c r="M151" s="2">
        <v>1084.08</v>
      </c>
      <c r="N151" s="2">
        <v>1262.5999999999999</v>
      </c>
      <c r="O151" s="2">
        <v>882.9</v>
      </c>
      <c r="P151" s="2">
        <v>2816398</v>
      </c>
      <c r="Q151" s="2">
        <v>102016</v>
      </c>
      <c r="R151" s="2">
        <f>Table1[[#This Row],[HIGH]]-Table1[[#This Row],[LOW]]</f>
        <v>30</v>
      </c>
    </row>
    <row r="152" spans="1:18" x14ac:dyDescent="0.35">
      <c r="A152" s="1">
        <v>45826</v>
      </c>
      <c r="B152" s="1" t="str">
        <f t="shared" si="8"/>
        <v>Wednesday</v>
      </c>
      <c r="C152" s="1" t="str">
        <f t="shared" si="9"/>
        <v>June</v>
      </c>
      <c r="D152" s="1" t="str">
        <f t="shared" si="10"/>
        <v>Q2</v>
      </c>
      <c r="E152" s="1" t="str">
        <f t="shared" si="11"/>
        <v>2025</v>
      </c>
      <c r="F152" t="s">
        <v>13</v>
      </c>
      <c r="G152" s="2">
        <v>1066.4000000000001</v>
      </c>
      <c r="H152" s="2">
        <v>1075.8</v>
      </c>
      <c r="I152" s="2">
        <v>1059</v>
      </c>
      <c r="J152" s="2">
        <v>1071.5999999999999</v>
      </c>
      <c r="K152" s="2">
        <v>1063.5999999999999</v>
      </c>
      <c r="L152" s="2">
        <v>1065.2</v>
      </c>
      <c r="M152" s="2">
        <v>1066.31</v>
      </c>
      <c r="N152" s="2">
        <v>1262.5999999999999</v>
      </c>
      <c r="O152" s="2">
        <v>882.9</v>
      </c>
      <c r="P152" s="2">
        <v>545933</v>
      </c>
      <c r="Q152" s="2">
        <v>27269</v>
      </c>
      <c r="R152" s="2">
        <f>Table1[[#This Row],[HIGH]]-Table1[[#This Row],[LOW]]</f>
        <v>16.799999999999955</v>
      </c>
    </row>
    <row r="153" spans="1:18" x14ac:dyDescent="0.35">
      <c r="A153" s="1">
        <v>45825</v>
      </c>
      <c r="B153" s="1" t="str">
        <f t="shared" si="8"/>
        <v>Tuesday</v>
      </c>
      <c r="C153" s="1" t="str">
        <f t="shared" si="9"/>
        <v>June</v>
      </c>
      <c r="D153" s="1" t="str">
        <f t="shared" si="10"/>
        <v>Q2</v>
      </c>
      <c r="E153" s="1" t="str">
        <f t="shared" si="11"/>
        <v>2025</v>
      </c>
      <c r="F153" t="s">
        <v>13</v>
      </c>
      <c r="G153" s="2">
        <v>1083.4000000000001</v>
      </c>
      <c r="H153" s="2">
        <v>1094</v>
      </c>
      <c r="I153" s="2">
        <v>1065.5</v>
      </c>
      <c r="J153" s="2">
        <v>1083.4000000000001</v>
      </c>
      <c r="K153" s="2">
        <v>1070.0999999999999</v>
      </c>
      <c r="L153" s="2">
        <v>1071.5999999999999</v>
      </c>
      <c r="M153" s="2">
        <v>1073.1500000000001</v>
      </c>
      <c r="N153" s="2">
        <v>1262.5999999999999</v>
      </c>
      <c r="O153" s="2">
        <v>882.9</v>
      </c>
      <c r="P153" s="2">
        <v>664517</v>
      </c>
      <c r="Q153" s="2">
        <v>24742</v>
      </c>
      <c r="R153" s="2">
        <f>Table1[[#This Row],[HIGH]]-Table1[[#This Row],[LOW]]</f>
        <v>28.5</v>
      </c>
    </row>
    <row r="154" spans="1:18" x14ac:dyDescent="0.35">
      <c r="A154" s="1">
        <v>45824</v>
      </c>
      <c r="B154" s="1" t="str">
        <f t="shared" si="8"/>
        <v>Monday</v>
      </c>
      <c r="C154" s="1" t="str">
        <f t="shared" si="9"/>
        <v>June</v>
      </c>
      <c r="D154" s="1" t="str">
        <f t="shared" si="10"/>
        <v>Q2</v>
      </c>
      <c r="E154" s="1" t="str">
        <f t="shared" si="11"/>
        <v>2025</v>
      </c>
      <c r="F154" t="s">
        <v>13</v>
      </c>
      <c r="G154" s="2">
        <v>1074</v>
      </c>
      <c r="H154" s="2">
        <v>1085</v>
      </c>
      <c r="I154" s="2">
        <v>1073.5999999999999</v>
      </c>
      <c r="J154" s="2">
        <v>1078.4000000000001</v>
      </c>
      <c r="K154" s="2">
        <v>1084</v>
      </c>
      <c r="L154" s="2">
        <v>1083.4000000000001</v>
      </c>
      <c r="M154" s="2">
        <v>1079.8599999999999</v>
      </c>
      <c r="N154" s="2">
        <v>1262.5999999999999</v>
      </c>
      <c r="O154" s="2">
        <v>882.9</v>
      </c>
      <c r="P154" s="2">
        <v>439929</v>
      </c>
      <c r="Q154" s="2">
        <v>25251</v>
      </c>
      <c r="R154" s="2">
        <f>Table1[[#This Row],[HIGH]]-Table1[[#This Row],[LOW]]</f>
        <v>11.400000000000091</v>
      </c>
    </row>
    <row r="155" spans="1:18" x14ac:dyDescent="0.35">
      <c r="A155" s="1">
        <v>45821</v>
      </c>
      <c r="B155" s="1" t="str">
        <f t="shared" si="8"/>
        <v>Friday</v>
      </c>
      <c r="C155" s="1" t="str">
        <f t="shared" si="9"/>
        <v>June</v>
      </c>
      <c r="D155" s="1" t="str">
        <f t="shared" si="10"/>
        <v>Q2</v>
      </c>
      <c r="E155" s="1" t="str">
        <f t="shared" si="11"/>
        <v>2025</v>
      </c>
      <c r="F155" t="s">
        <v>13</v>
      </c>
      <c r="G155" s="2">
        <v>1066.5999999999999</v>
      </c>
      <c r="H155" s="2">
        <v>1080.5999999999999</v>
      </c>
      <c r="I155" s="2">
        <v>1066.5999999999999</v>
      </c>
      <c r="J155" s="2">
        <v>1085.0999999999999</v>
      </c>
      <c r="K155" s="2">
        <v>1080.5999999999999</v>
      </c>
      <c r="L155" s="2">
        <v>1078.4000000000001</v>
      </c>
      <c r="M155" s="2">
        <v>1074.97</v>
      </c>
      <c r="N155" s="2">
        <v>1262.5999999999999</v>
      </c>
      <c r="O155" s="2">
        <v>882.9</v>
      </c>
      <c r="P155" s="2">
        <v>614108</v>
      </c>
      <c r="Q155" s="2">
        <v>35858</v>
      </c>
      <c r="R155" s="2">
        <f>Table1[[#This Row],[HIGH]]-Table1[[#This Row],[LOW]]</f>
        <v>14</v>
      </c>
    </row>
    <row r="156" spans="1:18" x14ac:dyDescent="0.35">
      <c r="A156" s="1">
        <v>45820</v>
      </c>
      <c r="B156" s="1" t="str">
        <f t="shared" si="8"/>
        <v>Thursday</v>
      </c>
      <c r="C156" s="1" t="str">
        <f t="shared" si="9"/>
        <v>June</v>
      </c>
      <c r="D156" s="1" t="str">
        <f t="shared" si="10"/>
        <v>Q2</v>
      </c>
      <c r="E156" s="1" t="str">
        <f t="shared" si="11"/>
        <v>2025</v>
      </c>
      <c r="F156" t="s">
        <v>13</v>
      </c>
      <c r="G156" s="2">
        <v>1108.9000000000001</v>
      </c>
      <c r="H156" s="2">
        <v>1108.9000000000001</v>
      </c>
      <c r="I156" s="2">
        <v>1080</v>
      </c>
      <c r="J156" s="2">
        <v>1104.3</v>
      </c>
      <c r="K156" s="2">
        <v>1081</v>
      </c>
      <c r="L156" s="2">
        <v>1085.0999999999999</v>
      </c>
      <c r="M156" s="2">
        <v>1089.24</v>
      </c>
      <c r="N156" s="2">
        <v>1262.5999999999999</v>
      </c>
      <c r="O156" s="2">
        <v>882.9</v>
      </c>
      <c r="P156" s="2">
        <v>941294</v>
      </c>
      <c r="Q156" s="2">
        <v>55146</v>
      </c>
      <c r="R156" s="2">
        <f>Table1[[#This Row],[HIGH]]-Table1[[#This Row],[LOW]]</f>
        <v>28.900000000000091</v>
      </c>
    </row>
    <row r="157" spans="1:18" x14ac:dyDescent="0.35">
      <c r="A157" s="1">
        <v>45819</v>
      </c>
      <c r="B157" s="1" t="str">
        <f t="shared" si="8"/>
        <v>Wednesday</v>
      </c>
      <c r="C157" s="1" t="str">
        <f t="shared" si="9"/>
        <v>June</v>
      </c>
      <c r="D157" s="1" t="str">
        <f t="shared" si="10"/>
        <v>Q2</v>
      </c>
      <c r="E157" s="1" t="str">
        <f t="shared" si="11"/>
        <v>2025</v>
      </c>
      <c r="F157" t="s">
        <v>13</v>
      </c>
      <c r="G157" s="2">
        <v>1115.2</v>
      </c>
      <c r="H157" s="2">
        <v>1119</v>
      </c>
      <c r="I157" s="2">
        <v>1102</v>
      </c>
      <c r="J157" s="2">
        <v>1115.0999999999999</v>
      </c>
      <c r="K157" s="2">
        <v>1103.5</v>
      </c>
      <c r="L157" s="2">
        <v>1104.3</v>
      </c>
      <c r="M157" s="2">
        <v>1107.5999999999999</v>
      </c>
      <c r="N157" s="2">
        <v>1262.5999999999999</v>
      </c>
      <c r="O157" s="2">
        <v>882.9</v>
      </c>
      <c r="P157" s="2">
        <v>862130</v>
      </c>
      <c r="Q157" s="2">
        <v>33399</v>
      </c>
      <c r="R157" s="2">
        <f>Table1[[#This Row],[HIGH]]-Table1[[#This Row],[LOW]]</f>
        <v>17</v>
      </c>
    </row>
    <row r="158" spans="1:18" x14ac:dyDescent="0.35">
      <c r="A158" s="1">
        <v>45818</v>
      </c>
      <c r="B158" s="1" t="str">
        <f t="shared" si="8"/>
        <v>Tuesday</v>
      </c>
      <c r="C158" s="1" t="str">
        <f t="shared" si="9"/>
        <v>June</v>
      </c>
      <c r="D158" s="1" t="str">
        <f t="shared" si="10"/>
        <v>Q2</v>
      </c>
      <c r="E158" s="1" t="str">
        <f t="shared" si="11"/>
        <v>2025</v>
      </c>
      <c r="F158" t="s">
        <v>13</v>
      </c>
      <c r="G158" s="2">
        <v>1121.2</v>
      </c>
      <c r="H158" s="2">
        <v>1128.5999999999999</v>
      </c>
      <c r="I158" s="2">
        <v>1112.7</v>
      </c>
      <c r="J158" s="2">
        <v>1121.2</v>
      </c>
      <c r="K158" s="2">
        <v>1115</v>
      </c>
      <c r="L158" s="2">
        <v>1115.0999999999999</v>
      </c>
      <c r="M158" s="2">
        <v>1118.57</v>
      </c>
      <c r="N158" s="2">
        <v>1262.5999999999999</v>
      </c>
      <c r="O158" s="2">
        <v>882.9</v>
      </c>
      <c r="P158" s="2">
        <v>460271</v>
      </c>
      <c r="Q158" s="2">
        <v>24438</v>
      </c>
      <c r="R158" s="2">
        <f>Table1[[#This Row],[HIGH]]-Table1[[#This Row],[LOW]]</f>
        <v>15.899999999999864</v>
      </c>
    </row>
    <row r="159" spans="1:18" x14ac:dyDescent="0.35">
      <c r="A159" s="1">
        <v>45817</v>
      </c>
      <c r="B159" s="1" t="str">
        <f t="shared" si="8"/>
        <v>Monday</v>
      </c>
      <c r="C159" s="1" t="str">
        <f t="shared" si="9"/>
        <v>June</v>
      </c>
      <c r="D159" s="1" t="str">
        <f t="shared" si="10"/>
        <v>Q2</v>
      </c>
      <c r="E159" s="1" t="str">
        <f t="shared" si="11"/>
        <v>2025</v>
      </c>
      <c r="F159" t="s">
        <v>13</v>
      </c>
      <c r="G159" s="2">
        <v>1115.5999999999999</v>
      </c>
      <c r="H159" s="2">
        <v>1122.5</v>
      </c>
      <c r="I159" s="2">
        <v>1110.2</v>
      </c>
      <c r="J159" s="2">
        <v>1115.5999999999999</v>
      </c>
      <c r="K159" s="2">
        <v>1120.0999999999999</v>
      </c>
      <c r="L159" s="2">
        <v>1121.2</v>
      </c>
      <c r="M159" s="2">
        <v>1116.72</v>
      </c>
      <c r="N159" s="2">
        <v>1262.5999999999999</v>
      </c>
      <c r="O159" s="2">
        <v>882.9</v>
      </c>
      <c r="P159" s="2">
        <v>467790</v>
      </c>
      <c r="Q159" s="2">
        <v>24598</v>
      </c>
      <c r="R159" s="2">
        <f>Table1[[#This Row],[HIGH]]-Table1[[#This Row],[LOW]]</f>
        <v>12.299999999999955</v>
      </c>
    </row>
    <row r="160" spans="1:18" x14ac:dyDescent="0.35">
      <c r="A160" s="1">
        <v>45814</v>
      </c>
      <c r="B160" s="1" t="str">
        <f t="shared" si="8"/>
        <v>Friday</v>
      </c>
      <c r="C160" s="1" t="str">
        <f t="shared" si="9"/>
        <v>June</v>
      </c>
      <c r="D160" s="1" t="str">
        <f t="shared" si="10"/>
        <v>Q2</v>
      </c>
      <c r="E160" s="1" t="str">
        <f t="shared" si="11"/>
        <v>2025</v>
      </c>
      <c r="F160" t="s">
        <v>13</v>
      </c>
      <c r="G160" s="2">
        <v>1111.9000000000001</v>
      </c>
      <c r="H160" s="2">
        <v>1123.9000000000001</v>
      </c>
      <c r="I160" s="2">
        <v>1109.4000000000001</v>
      </c>
      <c r="J160" s="2">
        <v>1111.9000000000001</v>
      </c>
      <c r="K160" s="2">
        <v>1114.8</v>
      </c>
      <c r="L160" s="2">
        <v>1115.5999999999999</v>
      </c>
      <c r="M160" s="2">
        <v>1115.93</v>
      </c>
      <c r="N160" s="2">
        <v>1262.5999999999999</v>
      </c>
      <c r="O160" s="2">
        <v>882.9</v>
      </c>
      <c r="P160" s="2">
        <v>503186</v>
      </c>
      <c r="Q160" s="2">
        <v>23369</v>
      </c>
      <c r="R160" s="2">
        <f>Table1[[#This Row],[HIGH]]-Table1[[#This Row],[LOW]]</f>
        <v>14.5</v>
      </c>
    </row>
    <row r="161" spans="1:18" x14ac:dyDescent="0.35">
      <c r="A161" s="1">
        <v>45813</v>
      </c>
      <c r="B161" s="1" t="str">
        <f t="shared" si="8"/>
        <v>Thursday</v>
      </c>
      <c r="C161" s="1" t="str">
        <f t="shared" si="9"/>
        <v>June</v>
      </c>
      <c r="D161" s="1" t="str">
        <f t="shared" si="10"/>
        <v>Q2</v>
      </c>
      <c r="E161" s="1" t="str">
        <f t="shared" si="11"/>
        <v>2025</v>
      </c>
      <c r="F161" t="s">
        <v>13</v>
      </c>
      <c r="G161" s="2">
        <v>1124.5</v>
      </c>
      <c r="H161" s="2">
        <v>1127.0999999999999</v>
      </c>
      <c r="I161" s="2">
        <v>1108.2</v>
      </c>
      <c r="J161" s="2">
        <v>1124.4000000000001</v>
      </c>
      <c r="K161" s="2">
        <v>1112.4000000000001</v>
      </c>
      <c r="L161" s="2">
        <v>1111.9000000000001</v>
      </c>
      <c r="M161" s="2">
        <v>1116.55</v>
      </c>
      <c r="N161" s="2">
        <v>1262.5999999999999</v>
      </c>
      <c r="O161" s="2">
        <v>882.9</v>
      </c>
      <c r="P161" s="2">
        <v>1044950</v>
      </c>
      <c r="Q161" s="2">
        <v>40600</v>
      </c>
      <c r="R161" s="2">
        <f>Table1[[#This Row],[HIGH]]-Table1[[#This Row],[LOW]]</f>
        <v>18.899999999999864</v>
      </c>
    </row>
    <row r="162" spans="1:18" x14ac:dyDescent="0.35">
      <c r="A162" s="1">
        <v>45812</v>
      </c>
      <c r="B162" s="1" t="str">
        <f t="shared" si="8"/>
        <v>Wednesday</v>
      </c>
      <c r="C162" s="1" t="str">
        <f t="shared" si="9"/>
        <v>June</v>
      </c>
      <c r="D162" s="1" t="str">
        <f t="shared" si="10"/>
        <v>Q2</v>
      </c>
      <c r="E162" s="1" t="str">
        <f t="shared" si="11"/>
        <v>2025</v>
      </c>
      <c r="F162" t="s">
        <v>13</v>
      </c>
      <c r="G162" s="2">
        <v>1110</v>
      </c>
      <c r="H162" s="2">
        <v>1125.9000000000001</v>
      </c>
      <c r="I162" s="2">
        <v>1110</v>
      </c>
      <c r="J162" s="2">
        <v>1114.5999999999999</v>
      </c>
      <c r="K162" s="2">
        <v>1125.9000000000001</v>
      </c>
      <c r="L162" s="2">
        <v>1124.4000000000001</v>
      </c>
      <c r="M162" s="2">
        <v>1122.6099999999999</v>
      </c>
      <c r="N162" s="2">
        <v>1262.5999999999999</v>
      </c>
      <c r="O162" s="2">
        <v>882.9</v>
      </c>
      <c r="P162" s="2">
        <v>635699</v>
      </c>
      <c r="Q162" s="2">
        <v>39554</v>
      </c>
      <c r="R162" s="2">
        <f>Table1[[#This Row],[HIGH]]-Table1[[#This Row],[LOW]]</f>
        <v>15.900000000000091</v>
      </c>
    </row>
    <row r="163" spans="1:18" x14ac:dyDescent="0.35">
      <c r="A163" s="1">
        <v>45811</v>
      </c>
      <c r="B163" s="1" t="str">
        <f t="shared" si="8"/>
        <v>Tuesday</v>
      </c>
      <c r="C163" s="1" t="str">
        <f t="shared" si="9"/>
        <v>June</v>
      </c>
      <c r="D163" s="1" t="str">
        <f t="shared" si="10"/>
        <v>Q2</v>
      </c>
      <c r="E163" s="1" t="str">
        <f t="shared" si="11"/>
        <v>2025</v>
      </c>
      <c r="F163" t="s">
        <v>13</v>
      </c>
      <c r="G163" s="2">
        <v>1116.0999999999999</v>
      </c>
      <c r="H163" s="2">
        <v>1123.2</v>
      </c>
      <c r="I163" s="2">
        <v>1110.0999999999999</v>
      </c>
      <c r="J163" s="2">
        <v>1120.4000000000001</v>
      </c>
      <c r="K163" s="2">
        <v>1112.0999999999999</v>
      </c>
      <c r="L163" s="2">
        <v>1114.5999999999999</v>
      </c>
      <c r="M163" s="2">
        <v>1114.32</v>
      </c>
      <c r="N163" s="2">
        <v>1262.5999999999999</v>
      </c>
      <c r="O163" s="2">
        <v>882.9</v>
      </c>
      <c r="P163" s="2">
        <v>795876</v>
      </c>
      <c r="Q163" s="2">
        <v>47584</v>
      </c>
      <c r="R163" s="2">
        <f>Table1[[#This Row],[HIGH]]-Table1[[#This Row],[LOW]]</f>
        <v>13.100000000000136</v>
      </c>
    </row>
    <row r="164" spans="1:18" x14ac:dyDescent="0.35">
      <c r="A164" s="1">
        <v>45810</v>
      </c>
      <c r="B164" s="1" t="str">
        <f t="shared" si="8"/>
        <v>Monday</v>
      </c>
      <c r="C164" s="1" t="str">
        <f t="shared" si="9"/>
        <v>June</v>
      </c>
      <c r="D164" s="1" t="str">
        <f t="shared" si="10"/>
        <v>Q2</v>
      </c>
      <c r="E164" s="1" t="str">
        <f t="shared" si="11"/>
        <v>2025</v>
      </c>
      <c r="F164" t="s">
        <v>13</v>
      </c>
      <c r="G164" s="2">
        <v>1100</v>
      </c>
      <c r="H164" s="2">
        <v>1125</v>
      </c>
      <c r="I164" s="2">
        <v>1099.2</v>
      </c>
      <c r="J164" s="2">
        <v>1106.3</v>
      </c>
      <c r="K164" s="2">
        <v>1116.4000000000001</v>
      </c>
      <c r="L164" s="2">
        <v>1120.4000000000001</v>
      </c>
      <c r="M164" s="2">
        <v>1117.04</v>
      </c>
      <c r="N164" s="2">
        <v>1262.5999999999999</v>
      </c>
      <c r="O164" s="2">
        <v>882.9</v>
      </c>
      <c r="P164" s="2">
        <v>907133</v>
      </c>
      <c r="Q164" s="2">
        <v>39652</v>
      </c>
      <c r="R164" s="2">
        <f>Table1[[#This Row],[HIGH]]-Table1[[#This Row],[LOW]]</f>
        <v>25.799999999999955</v>
      </c>
    </row>
    <row r="165" spans="1:18" x14ac:dyDescent="0.35">
      <c r="A165" s="1">
        <v>45807</v>
      </c>
      <c r="B165" s="1" t="str">
        <f t="shared" si="8"/>
        <v>Friday</v>
      </c>
      <c r="C165" s="1" t="str">
        <f t="shared" si="9"/>
        <v>May</v>
      </c>
      <c r="D165" s="1" t="str">
        <f t="shared" si="10"/>
        <v>Q2</v>
      </c>
      <c r="E165" s="1" t="str">
        <f t="shared" si="11"/>
        <v>2025</v>
      </c>
      <c r="F165" t="s">
        <v>13</v>
      </c>
      <c r="G165" s="2">
        <v>1109.8</v>
      </c>
      <c r="H165" s="2">
        <v>1119.8</v>
      </c>
      <c r="I165" s="2">
        <v>1101.5999999999999</v>
      </c>
      <c r="J165" s="2">
        <v>1109.8</v>
      </c>
      <c r="K165" s="2">
        <v>1109</v>
      </c>
      <c r="L165" s="2">
        <v>1106.3</v>
      </c>
      <c r="M165" s="2">
        <v>1107.21</v>
      </c>
      <c r="N165" s="2">
        <v>1262.5999999999999</v>
      </c>
      <c r="O165" s="2">
        <v>882.9</v>
      </c>
      <c r="P165" s="2">
        <v>2475644</v>
      </c>
      <c r="Q165" s="2">
        <v>54089</v>
      </c>
      <c r="R165" s="2">
        <f>Table1[[#This Row],[HIGH]]-Table1[[#This Row],[LOW]]</f>
        <v>18.200000000000045</v>
      </c>
    </row>
    <row r="166" spans="1:18" x14ac:dyDescent="0.35">
      <c r="A166" s="1">
        <v>45806</v>
      </c>
      <c r="B166" s="1" t="str">
        <f t="shared" si="8"/>
        <v>Thursday</v>
      </c>
      <c r="C166" s="1" t="str">
        <f t="shared" si="9"/>
        <v>May</v>
      </c>
      <c r="D166" s="1" t="str">
        <f t="shared" si="10"/>
        <v>Q2</v>
      </c>
      <c r="E166" s="1" t="str">
        <f t="shared" si="11"/>
        <v>2025</v>
      </c>
      <c r="F166" t="s">
        <v>13</v>
      </c>
      <c r="G166" s="2">
        <v>1115.7</v>
      </c>
      <c r="H166" s="2">
        <v>1118.0999999999999</v>
      </c>
      <c r="I166" s="2">
        <v>1098.2</v>
      </c>
      <c r="J166" s="2">
        <v>1121.4000000000001</v>
      </c>
      <c r="K166" s="2">
        <v>1105.5999999999999</v>
      </c>
      <c r="L166" s="2">
        <v>1109.8</v>
      </c>
      <c r="M166" s="2">
        <v>1106.6199999999999</v>
      </c>
      <c r="N166" s="2">
        <v>1262.5999999999999</v>
      </c>
      <c r="O166" s="2">
        <v>882.9</v>
      </c>
      <c r="P166" s="2">
        <v>2556089</v>
      </c>
      <c r="Q166" s="2">
        <v>86014</v>
      </c>
      <c r="R166" s="2">
        <f>Table1[[#This Row],[HIGH]]-Table1[[#This Row],[LOW]]</f>
        <v>19.899999999999864</v>
      </c>
    </row>
    <row r="167" spans="1:18" x14ac:dyDescent="0.35">
      <c r="A167" s="1">
        <v>45805</v>
      </c>
      <c r="B167" s="1" t="str">
        <f t="shared" si="8"/>
        <v>Wednesday</v>
      </c>
      <c r="C167" s="1" t="str">
        <f t="shared" si="9"/>
        <v>May</v>
      </c>
      <c r="D167" s="1" t="str">
        <f t="shared" si="10"/>
        <v>Q2</v>
      </c>
      <c r="E167" s="1" t="str">
        <f t="shared" si="11"/>
        <v>2025</v>
      </c>
      <c r="F167" t="s">
        <v>13</v>
      </c>
      <c r="G167" s="2">
        <v>1138.4000000000001</v>
      </c>
      <c r="H167" s="2">
        <v>1138.8</v>
      </c>
      <c r="I167" s="2">
        <v>1119</v>
      </c>
      <c r="J167" s="2">
        <v>1138.4000000000001</v>
      </c>
      <c r="K167" s="2">
        <v>1120.0999999999999</v>
      </c>
      <c r="L167" s="2">
        <v>1121.4000000000001</v>
      </c>
      <c r="M167" s="2">
        <v>1124.75</v>
      </c>
      <c r="N167" s="2">
        <v>1262.5999999999999</v>
      </c>
      <c r="O167" s="2">
        <v>882.9</v>
      </c>
      <c r="P167" s="2">
        <v>492483</v>
      </c>
      <c r="Q167" s="2">
        <v>29438</v>
      </c>
      <c r="R167" s="2">
        <f>Table1[[#This Row],[HIGH]]-Table1[[#This Row],[LOW]]</f>
        <v>19.799999999999955</v>
      </c>
    </row>
    <row r="168" spans="1:18" x14ac:dyDescent="0.35">
      <c r="A168" s="1">
        <v>45804</v>
      </c>
      <c r="B168" s="1" t="str">
        <f t="shared" si="8"/>
        <v>Tuesday</v>
      </c>
      <c r="C168" s="1" t="str">
        <f t="shared" si="9"/>
        <v>May</v>
      </c>
      <c r="D168" s="1" t="str">
        <f t="shared" si="10"/>
        <v>Q2</v>
      </c>
      <c r="E168" s="1" t="str">
        <f t="shared" si="11"/>
        <v>2025</v>
      </c>
      <c r="F168" t="s">
        <v>13</v>
      </c>
      <c r="G168" s="2">
        <v>1146.5999999999999</v>
      </c>
      <c r="H168" s="2">
        <v>1149.8</v>
      </c>
      <c r="I168" s="2">
        <v>1127.2</v>
      </c>
      <c r="J168" s="2">
        <v>1146.3</v>
      </c>
      <c r="K168" s="2">
        <v>1136.5</v>
      </c>
      <c r="L168" s="2">
        <v>1138.4000000000001</v>
      </c>
      <c r="M168" s="2">
        <v>1136.0899999999999</v>
      </c>
      <c r="N168" s="2">
        <v>1262.5999999999999</v>
      </c>
      <c r="O168" s="2">
        <v>882.9</v>
      </c>
      <c r="P168" s="2">
        <v>901912</v>
      </c>
      <c r="Q168" s="2">
        <v>44470</v>
      </c>
      <c r="R168" s="2">
        <f>Table1[[#This Row],[HIGH]]-Table1[[#This Row],[LOW]]</f>
        <v>22.599999999999909</v>
      </c>
    </row>
    <row r="169" spans="1:18" x14ac:dyDescent="0.35">
      <c r="A169" s="1">
        <v>45803</v>
      </c>
      <c r="B169" s="1" t="str">
        <f t="shared" si="8"/>
        <v>Monday</v>
      </c>
      <c r="C169" s="1" t="str">
        <f t="shared" si="9"/>
        <v>May</v>
      </c>
      <c r="D169" s="1" t="str">
        <f t="shared" si="10"/>
        <v>Q2</v>
      </c>
      <c r="E169" s="1" t="str">
        <f t="shared" si="11"/>
        <v>2025</v>
      </c>
      <c r="F169" t="s">
        <v>13</v>
      </c>
      <c r="G169" s="2">
        <v>1137</v>
      </c>
      <c r="H169" s="2">
        <v>1153.4000000000001</v>
      </c>
      <c r="I169" s="2">
        <v>1137</v>
      </c>
      <c r="J169" s="2">
        <v>1140.8</v>
      </c>
      <c r="K169" s="2">
        <v>1147</v>
      </c>
      <c r="L169" s="2">
        <v>1146.3</v>
      </c>
      <c r="M169" s="2">
        <v>1146.2</v>
      </c>
      <c r="N169" s="2">
        <v>1262.5999999999999</v>
      </c>
      <c r="O169" s="2">
        <v>882.9</v>
      </c>
      <c r="P169" s="2">
        <v>616370</v>
      </c>
      <c r="Q169" s="2">
        <v>34492</v>
      </c>
      <c r="R169" s="2">
        <f>Table1[[#This Row],[HIGH]]-Table1[[#This Row],[LOW]]</f>
        <v>16.400000000000091</v>
      </c>
    </row>
    <row r="170" spans="1:18" x14ac:dyDescent="0.35">
      <c r="A170" s="1">
        <v>45800</v>
      </c>
      <c r="B170" s="1" t="str">
        <f t="shared" si="8"/>
        <v>Friday</v>
      </c>
      <c r="C170" s="1" t="str">
        <f t="shared" si="9"/>
        <v>May</v>
      </c>
      <c r="D170" s="1" t="str">
        <f t="shared" si="10"/>
        <v>Q2</v>
      </c>
      <c r="E170" s="1" t="str">
        <f t="shared" si="11"/>
        <v>2025</v>
      </c>
      <c r="F170" t="s">
        <v>13</v>
      </c>
      <c r="G170" s="2">
        <v>1126.5</v>
      </c>
      <c r="H170" s="2">
        <v>1152</v>
      </c>
      <c r="I170" s="2">
        <v>1124</v>
      </c>
      <c r="J170" s="2">
        <v>1126.7</v>
      </c>
      <c r="K170" s="2">
        <v>1138.7</v>
      </c>
      <c r="L170" s="2">
        <v>1140.8</v>
      </c>
      <c r="M170" s="2">
        <v>1143.51</v>
      </c>
      <c r="N170" s="2">
        <v>1262.5999999999999</v>
      </c>
      <c r="O170" s="2">
        <v>882.9</v>
      </c>
      <c r="P170" s="2">
        <v>897235</v>
      </c>
      <c r="Q170" s="2">
        <v>38513</v>
      </c>
      <c r="R170" s="2">
        <f>Table1[[#This Row],[HIGH]]-Table1[[#This Row],[LOW]]</f>
        <v>28</v>
      </c>
    </row>
    <row r="171" spans="1:18" x14ac:dyDescent="0.35">
      <c r="A171" s="1">
        <v>45799</v>
      </c>
      <c r="B171" s="1" t="str">
        <f t="shared" si="8"/>
        <v>Thursday</v>
      </c>
      <c r="C171" s="1" t="str">
        <f t="shared" si="9"/>
        <v>May</v>
      </c>
      <c r="D171" s="1" t="str">
        <f t="shared" si="10"/>
        <v>Q2</v>
      </c>
      <c r="E171" s="1" t="str">
        <f t="shared" si="11"/>
        <v>2025</v>
      </c>
      <c r="F171" t="s">
        <v>13</v>
      </c>
      <c r="G171" s="2">
        <v>1138.8</v>
      </c>
      <c r="H171" s="2">
        <v>1138.8</v>
      </c>
      <c r="I171" s="2">
        <v>1115.5</v>
      </c>
      <c r="J171" s="2">
        <v>1138.8</v>
      </c>
      <c r="K171" s="2">
        <v>1128.5</v>
      </c>
      <c r="L171" s="2">
        <v>1126.7</v>
      </c>
      <c r="M171" s="2">
        <v>1126.51</v>
      </c>
      <c r="N171" s="2">
        <v>1262.5999999999999</v>
      </c>
      <c r="O171" s="2">
        <v>882.9</v>
      </c>
      <c r="P171" s="2">
        <v>1414277</v>
      </c>
      <c r="Q171" s="2">
        <v>68486</v>
      </c>
      <c r="R171" s="2">
        <f>Table1[[#This Row],[HIGH]]-Table1[[#This Row],[LOW]]</f>
        <v>23.299999999999955</v>
      </c>
    </row>
    <row r="172" spans="1:18" x14ac:dyDescent="0.35">
      <c r="A172" s="1">
        <v>45798</v>
      </c>
      <c r="B172" s="1" t="str">
        <f t="shared" si="8"/>
        <v>Wednesday</v>
      </c>
      <c r="C172" s="1" t="str">
        <f t="shared" si="9"/>
        <v>May</v>
      </c>
      <c r="D172" s="1" t="str">
        <f t="shared" si="10"/>
        <v>Q2</v>
      </c>
      <c r="E172" s="1" t="str">
        <f t="shared" si="11"/>
        <v>2025</v>
      </c>
      <c r="F172" t="s">
        <v>13</v>
      </c>
      <c r="G172" s="2">
        <v>1128.5</v>
      </c>
      <c r="H172" s="2">
        <v>1153.5</v>
      </c>
      <c r="I172" s="2">
        <v>1123.8</v>
      </c>
      <c r="J172" s="2">
        <v>1128.5</v>
      </c>
      <c r="K172" s="2">
        <v>1139.0999999999999</v>
      </c>
      <c r="L172" s="2">
        <v>1138.8</v>
      </c>
      <c r="M172" s="2">
        <v>1141.28</v>
      </c>
      <c r="N172" s="2">
        <v>1262.5999999999999</v>
      </c>
      <c r="O172" s="2">
        <v>882.9</v>
      </c>
      <c r="P172" s="2">
        <v>619421</v>
      </c>
      <c r="Q172" s="2">
        <v>32250</v>
      </c>
      <c r="R172" s="2">
        <f>Table1[[#This Row],[HIGH]]-Table1[[#This Row],[LOW]]</f>
        <v>29.700000000000045</v>
      </c>
    </row>
    <row r="173" spans="1:18" x14ac:dyDescent="0.35">
      <c r="A173" s="1">
        <v>45797</v>
      </c>
      <c r="B173" s="1" t="str">
        <f t="shared" si="8"/>
        <v>Tuesday</v>
      </c>
      <c r="C173" s="1" t="str">
        <f t="shared" si="9"/>
        <v>May</v>
      </c>
      <c r="D173" s="1" t="str">
        <f t="shared" si="10"/>
        <v>Q2</v>
      </c>
      <c r="E173" s="1" t="str">
        <f t="shared" si="11"/>
        <v>2025</v>
      </c>
      <c r="F173" t="s">
        <v>13</v>
      </c>
      <c r="G173" s="2">
        <v>1149</v>
      </c>
      <c r="H173" s="2">
        <v>1155.2</v>
      </c>
      <c r="I173" s="2">
        <v>1126.8</v>
      </c>
      <c r="J173" s="2">
        <v>1149.3</v>
      </c>
      <c r="K173" s="2">
        <v>1131.8</v>
      </c>
      <c r="L173" s="2">
        <v>1128.5</v>
      </c>
      <c r="M173" s="2">
        <v>1134.23</v>
      </c>
      <c r="N173" s="2">
        <v>1262.5999999999999</v>
      </c>
      <c r="O173" s="2">
        <v>882.9</v>
      </c>
      <c r="P173" s="2">
        <v>825451</v>
      </c>
      <c r="Q173" s="2">
        <v>42548</v>
      </c>
      <c r="R173" s="2">
        <f>Table1[[#This Row],[HIGH]]-Table1[[#This Row],[LOW]]</f>
        <v>28.400000000000091</v>
      </c>
    </row>
    <row r="174" spans="1:18" x14ac:dyDescent="0.35">
      <c r="A174" s="1">
        <v>45796</v>
      </c>
      <c r="B174" s="1" t="str">
        <f t="shared" si="8"/>
        <v>Monday</v>
      </c>
      <c r="C174" s="1" t="str">
        <f t="shared" si="9"/>
        <v>May</v>
      </c>
      <c r="D174" s="1" t="str">
        <f t="shared" si="10"/>
        <v>Q2</v>
      </c>
      <c r="E174" s="1" t="str">
        <f t="shared" si="11"/>
        <v>2025</v>
      </c>
      <c r="F174" t="s">
        <v>13</v>
      </c>
      <c r="G174" s="2">
        <v>1168</v>
      </c>
      <c r="H174" s="2">
        <v>1169.7</v>
      </c>
      <c r="I174" s="2">
        <v>1143</v>
      </c>
      <c r="J174" s="2">
        <v>1168</v>
      </c>
      <c r="K174" s="2">
        <v>1150</v>
      </c>
      <c r="L174" s="2">
        <v>1149.3</v>
      </c>
      <c r="M174" s="2">
        <v>1153.81</v>
      </c>
      <c r="N174" s="2">
        <v>1262.5999999999999</v>
      </c>
      <c r="O174" s="2">
        <v>882.9</v>
      </c>
      <c r="P174" s="2">
        <v>786128</v>
      </c>
      <c r="Q174" s="2">
        <v>54292</v>
      </c>
      <c r="R174" s="2">
        <f>Table1[[#This Row],[HIGH]]-Table1[[#This Row],[LOW]]</f>
        <v>26.700000000000045</v>
      </c>
    </row>
    <row r="175" spans="1:18" x14ac:dyDescent="0.35">
      <c r="A175" s="1">
        <v>45793</v>
      </c>
      <c r="B175" s="1" t="str">
        <f t="shared" si="8"/>
        <v>Friday</v>
      </c>
      <c r="C175" s="1" t="str">
        <f t="shared" si="9"/>
        <v>May</v>
      </c>
      <c r="D175" s="1" t="str">
        <f t="shared" si="10"/>
        <v>Q2</v>
      </c>
      <c r="E175" s="1" t="str">
        <f t="shared" si="11"/>
        <v>2025</v>
      </c>
      <c r="F175" t="s">
        <v>13</v>
      </c>
      <c r="G175" s="2">
        <v>1154.9000000000001</v>
      </c>
      <c r="H175" s="2">
        <v>1173.5</v>
      </c>
      <c r="I175" s="2">
        <v>1144</v>
      </c>
      <c r="J175" s="2">
        <v>1147.2</v>
      </c>
      <c r="K175" s="2">
        <v>1170</v>
      </c>
      <c r="L175" s="2">
        <v>1168</v>
      </c>
      <c r="M175" s="2">
        <v>1160.1099999999999</v>
      </c>
      <c r="N175" s="2">
        <v>1262.5999999999999</v>
      </c>
      <c r="O175" s="2">
        <v>882.9</v>
      </c>
      <c r="P175" s="2">
        <v>1336653</v>
      </c>
      <c r="Q175" s="2">
        <v>53338</v>
      </c>
      <c r="R175" s="2">
        <f>Table1[[#This Row],[HIGH]]-Table1[[#This Row],[LOW]]</f>
        <v>29.5</v>
      </c>
    </row>
    <row r="176" spans="1:18" x14ac:dyDescent="0.35">
      <c r="A176" s="1">
        <v>45792</v>
      </c>
      <c r="B176" s="1" t="str">
        <f t="shared" si="8"/>
        <v>Thursday</v>
      </c>
      <c r="C176" s="1" t="str">
        <f t="shared" si="9"/>
        <v>May</v>
      </c>
      <c r="D176" s="1" t="str">
        <f t="shared" si="10"/>
        <v>Q2</v>
      </c>
      <c r="E176" s="1" t="str">
        <f t="shared" si="11"/>
        <v>2025</v>
      </c>
      <c r="F176" t="s">
        <v>13</v>
      </c>
      <c r="G176" s="2">
        <v>1120.4000000000001</v>
      </c>
      <c r="H176" s="2">
        <v>1159.2</v>
      </c>
      <c r="I176" s="2">
        <v>1105.5</v>
      </c>
      <c r="J176" s="2">
        <v>1120.4000000000001</v>
      </c>
      <c r="K176" s="2">
        <v>1146</v>
      </c>
      <c r="L176" s="2">
        <v>1147.2</v>
      </c>
      <c r="M176" s="2">
        <v>1137.25</v>
      </c>
      <c r="N176" s="2">
        <v>1262.5999999999999</v>
      </c>
      <c r="O176" s="2">
        <v>882.9</v>
      </c>
      <c r="P176" s="2">
        <v>2064096</v>
      </c>
      <c r="Q176" s="2">
        <v>90774</v>
      </c>
      <c r="R176" s="2">
        <f>Table1[[#This Row],[HIGH]]-Table1[[#This Row],[LOW]]</f>
        <v>53.700000000000045</v>
      </c>
    </row>
    <row r="177" spans="1:18" x14ac:dyDescent="0.35">
      <c r="A177" s="1">
        <v>45791</v>
      </c>
      <c r="B177" s="1" t="str">
        <f t="shared" si="8"/>
        <v>Wednesday</v>
      </c>
      <c r="C177" s="1" t="str">
        <f t="shared" si="9"/>
        <v>May</v>
      </c>
      <c r="D177" s="1" t="str">
        <f t="shared" si="10"/>
        <v>Q2</v>
      </c>
      <c r="E177" s="1" t="str">
        <f t="shared" si="11"/>
        <v>2025</v>
      </c>
      <c r="F177" t="s">
        <v>13</v>
      </c>
      <c r="G177" s="2">
        <v>1118.5999999999999</v>
      </c>
      <c r="H177" s="2">
        <v>1128.9000000000001</v>
      </c>
      <c r="I177" s="2">
        <v>1115.8</v>
      </c>
      <c r="J177" s="2">
        <v>1118.5999999999999</v>
      </c>
      <c r="K177" s="2">
        <v>1120.5</v>
      </c>
      <c r="L177" s="2">
        <v>1120.4000000000001</v>
      </c>
      <c r="M177" s="2">
        <v>1121.28</v>
      </c>
      <c r="N177" s="2">
        <v>1262.5999999999999</v>
      </c>
      <c r="O177" s="2">
        <v>882.9</v>
      </c>
      <c r="P177" s="2">
        <v>1386813</v>
      </c>
      <c r="Q177" s="2">
        <v>51043</v>
      </c>
      <c r="R177" s="2">
        <f>Table1[[#This Row],[HIGH]]-Table1[[#This Row],[LOW]]</f>
        <v>13.100000000000136</v>
      </c>
    </row>
    <row r="178" spans="1:18" x14ac:dyDescent="0.35">
      <c r="A178" s="1">
        <v>45790</v>
      </c>
      <c r="B178" s="1" t="str">
        <f t="shared" si="8"/>
        <v>Tuesday</v>
      </c>
      <c r="C178" s="1" t="str">
        <f t="shared" si="9"/>
        <v>May</v>
      </c>
      <c r="D178" s="1" t="str">
        <f t="shared" si="10"/>
        <v>Q2</v>
      </c>
      <c r="E178" s="1" t="str">
        <f t="shared" si="11"/>
        <v>2025</v>
      </c>
      <c r="F178" t="s">
        <v>13</v>
      </c>
      <c r="G178" s="2">
        <v>1145.3</v>
      </c>
      <c r="H178" s="2">
        <v>1150.3</v>
      </c>
      <c r="I178" s="2">
        <v>1116.2</v>
      </c>
      <c r="J178" s="2">
        <v>1145.5999999999999</v>
      </c>
      <c r="K178" s="2">
        <v>1120.5999999999999</v>
      </c>
      <c r="L178" s="2">
        <v>1118.5999999999999</v>
      </c>
      <c r="M178" s="2">
        <v>1125.54</v>
      </c>
      <c r="N178" s="2">
        <v>1262.5999999999999</v>
      </c>
      <c r="O178" s="2">
        <v>882.9</v>
      </c>
      <c r="P178" s="2">
        <v>1096797</v>
      </c>
      <c r="Q178" s="2">
        <v>50065</v>
      </c>
      <c r="R178" s="2">
        <f>Table1[[#This Row],[HIGH]]-Table1[[#This Row],[LOW]]</f>
        <v>34.099999999999909</v>
      </c>
    </row>
    <row r="179" spans="1:18" x14ac:dyDescent="0.35">
      <c r="A179" s="1">
        <v>45789</v>
      </c>
      <c r="B179" s="1" t="str">
        <f t="shared" si="8"/>
        <v>Monday</v>
      </c>
      <c r="C179" s="1" t="str">
        <f t="shared" si="9"/>
        <v>May</v>
      </c>
      <c r="D179" s="1" t="str">
        <f t="shared" si="10"/>
        <v>Q2</v>
      </c>
      <c r="E179" s="1" t="str">
        <f t="shared" si="11"/>
        <v>2025</v>
      </c>
      <c r="F179" t="s">
        <v>13</v>
      </c>
      <c r="G179" s="2">
        <v>1123</v>
      </c>
      <c r="H179" s="2">
        <v>1155</v>
      </c>
      <c r="I179" s="2">
        <v>1123</v>
      </c>
      <c r="J179" s="2">
        <v>1113.7</v>
      </c>
      <c r="K179" s="2">
        <v>1144.5</v>
      </c>
      <c r="L179" s="2">
        <v>1145.5999999999999</v>
      </c>
      <c r="M179" s="2">
        <v>1143.3699999999999</v>
      </c>
      <c r="N179" s="2">
        <v>1262.5999999999999</v>
      </c>
      <c r="O179" s="2">
        <v>882.9</v>
      </c>
      <c r="P179" s="2">
        <v>748637</v>
      </c>
      <c r="Q179" s="2">
        <v>39678</v>
      </c>
      <c r="R179" s="2">
        <f>Table1[[#This Row],[HIGH]]-Table1[[#This Row],[LOW]]</f>
        <v>32</v>
      </c>
    </row>
    <row r="180" spans="1:18" x14ac:dyDescent="0.35">
      <c r="A180" s="1">
        <v>45786</v>
      </c>
      <c r="B180" s="1" t="str">
        <f t="shared" si="8"/>
        <v>Friday</v>
      </c>
      <c r="C180" s="1" t="str">
        <f t="shared" si="9"/>
        <v>May</v>
      </c>
      <c r="D180" s="1" t="str">
        <f t="shared" si="10"/>
        <v>Q2</v>
      </c>
      <c r="E180" s="1" t="str">
        <f t="shared" si="11"/>
        <v>2025</v>
      </c>
      <c r="F180" t="s">
        <v>13</v>
      </c>
      <c r="G180" s="2">
        <v>1098</v>
      </c>
      <c r="H180" s="2">
        <v>1118.5999999999999</v>
      </c>
      <c r="I180" s="2">
        <v>1086.4000000000001</v>
      </c>
      <c r="J180" s="2">
        <v>1116</v>
      </c>
      <c r="K180" s="2">
        <v>1111</v>
      </c>
      <c r="L180" s="2">
        <v>1113.7</v>
      </c>
      <c r="M180" s="2">
        <v>1105.3399999999999</v>
      </c>
      <c r="N180" s="2">
        <v>1262.5999999999999</v>
      </c>
      <c r="O180" s="2">
        <v>882.9</v>
      </c>
      <c r="P180" s="2">
        <v>815694</v>
      </c>
      <c r="Q180" s="2">
        <v>43786</v>
      </c>
      <c r="R180" s="2">
        <f>Table1[[#This Row],[HIGH]]-Table1[[#This Row],[LOW]]</f>
        <v>32.199999999999818</v>
      </c>
    </row>
    <row r="181" spans="1:18" x14ac:dyDescent="0.35">
      <c r="A181" s="1">
        <v>45785</v>
      </c>
      <c r="B181" s="1" t="str">
        <f t="shared" si="8"/>
        <v>Thursday</v>
      </c>
      <c r="C181" s="1" t="str">
        <f t="shared" si="9"/>
        <v>May</v>
      </c>
      <c r="D181" s="1" t="str">
        <f t="shared" si="10"/>
        <v>Q2</v>
      </c>
      <c r="E181" s="1" t="str">
        <f t="shared" si="11"/>
        <v>2025</v>
      </c>
      <c r="F181" t="s">
        <v>13</v>
      </c>
      <c r="G181" s="2">
        <v>1136</v>
      </c>
      <c r="H181" s="2">
        <v>1140</v>
      </c>
      <c r="I181" s="2">
        <v>1107.5</v>
      </c>
      <c r="J181" s="2">
        <v>1146</v>
      </c>
      <c r="K181" s="2">
        <v>1113.5999999999999</v>
      </c>
      <c r="L181" s="2">
        <v>1116</v>
      </c>
      <c r="M181" s="2">
        <v>1117.6500000000001</v>
      </c>
      <c r="N181" s="2">
        <v>1262.5999999999999</v>
      </c>
      <c r="O181" s="2">
        <v>882.9</v>
      </c>
      <c r="P181" s="2">
        <v>2692162</v>
      </c>
      <c r="Q181" s="2">
        <v>100148</v>
      </c>
      <c r="R181" s="2">
        <f>Table1[[#This Row],[HIGH]]-Table1[[#This Row],[LOW]]</f>
        <v>32.5</v>
      </c>
    </row>
    <row r="182" spans="1:18" x14ac:dyDescent="0.35">
      <c r="A182" s="1">
        <v>45784</v>
      </c>
      <c r="B182" s="1" t="str">
        <f t="shared" si="8"/>
        <v>Wednesday</v>
      </c>
      <c r="C182" s="1" t="str">
        <f t="shared" si="9"/>
        <v>May</v>
      </c>
      <c r="D182" s="1" t="str">
        <f t="shared" si="10"/>
        <v>Q2</v>
      </c>
      <c r="E182" s="1" t="str">
        <f t="shared" si="11"/>
        <v>2025</v>
      </c>
      <c r="F182" t="s">
        <v>13</v>
      </c>
      <c r="G182" s="2">
        <v>1140</v>
      </c>
      <c r="H182" s="2">
        <v>1162.3</v>
      </c>
      <c r="I182" s="2">
        <v>1136.4000000000001</v>
      </c>
      <c r="J182" s="2">
        <v>1155.3</v>
      </c>
      <c r="K182" s="2">
        <v>1145.5</v>
      </c>
      <c r="L182" s="2">
        <v>1146</v>
      </c>
      <c r="M182" s="2">
        <v>1150.8599999999999</v>
      </c>
      <c r="N182" s="2">
        <v>1262.5999999999999</v>
      </c>
      <c r="O182" s="2">
        <v>882.9</v>
      </c>
      <c r="P182" s="2">
        <v>1792683</v>
      </c>
      <c r="Q182" s="2">
        <v>54089</v>
      </c>
      <c r="R182" s="2">
        <f>Table1[[#This Row],[HIGH]]-Table1[[#This Row],[LOW]]</f>
        <v>25.899999999999864</v>
      </c>
    </row>
    <row r="183" spans="1:18" x14ac:dyDescent="0.35">
      <c r="A183" s="1">
        <v>45783</v>
      </c>
      <c r="B183" s="1" t="str">
        <f t="shared" si="8"/>
        <v>Tuesday</v>
      </c>
      <c r="C183" s="1" t="str">
        <f t="shared" si="9"/>
        <v>May</v>
      </c>
      <c r="D183" s="1" t="str">
        <f t="shared" si="10"/>
        <v>Q2</v>
      </c>
      <c r="E183" s="1" t="str">
        <f t="shared" si="11"/>
        <v>2025</v>
      </c>
      <c r="F183" t="s">
        <v>13</v>
      </c>
      <c r="G183" s="2">
        <v>1161.5</v>
      </c>
      <c r="H183" s="2">
        <v>1173.5</v>
      </c>
      <c r="I183" s="2">
        <v>1152.5999999999999</v>
      </c>
      <c r="J183" s="2">
        <v>1161.5</v>
      </c>
      <c r="K183" s="2">
        <v>1154</v>
      </c>
      <c r="L183" s="2">
        <v>1155.3</v>
      </c>
      <c r="M183" s="2">
        <v>1161.3800000000001</v>
      </c>
      <c r="N183" s="2">
        <v>1262.5999999999999</v>
      </c>
      <c r="O183" s="2">
        <v>882.9</v>
      </c>
      <c r="P183" s="2">
        <v>1382140</v>
      </c>
      <c r="Q183" s="2">
        <v>51329</v>
      </c>
      <c r="R183" s="2">
        <f>Table1[[#This Row],[HIGH]]-Table1[[#This Row],[LOW]]</f>
        <v>20.900000000000091</v>
      </c>
    </row>
    <row r="184" spans="1:18" x14ac:dyDescent="0.35">
      <c r="A184" s="1">
        <v>45782</v>
      </c>
      <c r="B184" s="1" t="str">
        <f t="shared" si="8"/>
        <v>Monday</v>
      </c>
      <c r="C184" s="1" t="str">
        <f t="shared" si="9"/>
        <v>May</v>
      </c>
      <c r="D184" s="1" t="str">
        <f t="shared" si="10"/>
        <v>Q2</v>
      </c>
      <c r="E184" s="1" t="str">
        <f t="shared" si="11"/>
        <v>2025</v>
      </c>
      <c r="F184" t="s">
        <v>13</v>
      </c>
      <c r="G184" s="2">
        <v>1155.5</v>
      </c>
      <c r="H184" s="2">
        <v>1173.5999999999999</v>
      </c>
      <c r="I184" s="2">
        <v>1153</v>
      </c>
      <c r="J184" s="2">
        <v>1156.8</v>
      </c>
      <c r="K184" s="2">
        <v>1163.4000000000001</v>
      </c>
      <c r="L184" s="2">
        <v>1161.5</v>
      </c>
      <c r="M184" s="2">
        <v>1163.5999999999999</v>
      </c>
      <c r="N184" s="2">
        <v>1262.5999999999999</v>
      </c>
      <c r="O184" s="2">
        <v>882.9</v>
      </c>
      <c r="P184" s="2">
        <v>1359727</v>
      </c>
      <c r="Q184" s="2">
        <v>65349</v>
      </c>
      <c r="R184" s="2">
        <f>Table1[[#This Row],[HIGH]]-Table1[[#This Row],[LOW]]</f>
        <v>20.599999999999909</v>
      </c>
    </row>
    <row r="185" spans="1:18" x14ac:dyDescent="0.35">
      <c r="A185" s="1">
        <v>45779</v>
      </c>
      <c r="B185" s="1" t="str">
        <f t="shared" si="8"/>
        <v>Friday</v>
      </c>
      <c r="C185" s="1" t="str">
        <f t="shared" si="9"/>
        <v>May</v>
      </c>
      <c r="D185" s="1" t="str">
        <f t="shared" si="10"/>
        <v>Q2</v>
      </c>
      <c r="E185" s="1" t="str">
        <f t="shared" si="11"/>
        <v>2025</v>
      </c>
      <c r="F185" t="s">
        <v>13</v>
      </c>
      <c r="G185" s="2">
        <v>1157</v>
      </c>
      <c r="H185" s="2">
        <v>1176.2</v>
      </c>
      <c r="I185" s="2">
        <v>1151</v>
      </c>
      <c r="J185" s="2">
        <v>1165.8</v>
      </c>
      <c r="K185" s="2">
        <v>1153</v>
      </c>
      <c r="L185" s="2">
        <v>1156.8</v>
      </c>
      <c r="M185" s="2">
        <v>1162.0999999999999</v>
      </c>
      <c r="N185" s="2">
        <v>1262.5999999999999</v>
      </c>
      <c r="O185" s="2">
        <v>882.9</v>
      </c>
      <c r="P185" s="2">
        <v>1042342</v>
      </c>
      <c r="Q185" s="2">
        <v>50602</v>
      </c>
      <c r="R185" s="2">
        <f>Table1[[#This Row],[HIGH]]-Table1[[#This Row],[LOW]]</f>
        <v>25.200000000000045</v>
      </c>
    </row>
    <row r="186" spans="1:18" x14ac:dyDescent="0.35">
      <c r="A186" s="1">
        <v>45777</v>
      </c>
      <c r="B186" s="1" t="str">
        <f t="shared" si="8"/>
        <v>Wednesday</v>
      </c>
      <c r="C186" s="1" t="str">
        <f t="shared" si="9"/>
        <v>April</v>
      </c>
      <c r="D186" s="1" t="str">
        <f t="shared" si="10"/>
        <v>Q2</v>
      </c>
      <c r="E186" s="1" t="str">
        <f t="shared" si="11"/>
        <v>2025</v>
      </c>
      <c r="F186" t="s">
        <v>13</v>
      </c>
      <c r="G186" s="2">
        <v>1174.7</v>
      </c>
      <c r="H186" s="2">
        <v>1180.5</v>
      </c>
      <c r="I186" s="2">
        <v>1152.4000000000001</v>
      </c>
      <c r="J186" s="2">
        <v>1168.9000000000001</v>
      </c>
      <c r="K186" s="2">
        <v>1160</v>
      </c>
      <c r="L186" s="2">
        <v>1165.8</v>
      </c>
      <c r="M186" s="2">
        <v>1166.76</v>
      </c>
      <c r="N186" s="2">
        <v>1262.5999999999999</v>
      </c>
      <c r="O186" s="2">
        <v>882.9</v>
      </c>
      <c r="P186" s="2">
        <v>1477319</v>
      </c>
      <c r="Q186" s="2">
        <v>64157</v>
      </c>
      <c r="R186" s="2">
        <f>Table1[[#This Row],[HIGH]]-Table1[[#This Row],[LOW]]</f>
        <v>28.099999999999909</v>
      </c>
    </row>
    <row r="187" spans="1:18" x14ac:dyDescent="0.35">
      <c r="A187" s="1">
        <v>45776</v>
      </c>
      <c r="B187" s="1" t="str">
        <f t="shared" si="8"/>
        <v>Tuesday</v>
      </c>
      <c r="C187" s="1" t="str">
        <f t="shared" si="9"/>
        <v>April</v>
      </c>
      <c r="D187" s="1" t="str">
        <f t="shared" si="10"/>
        <v>Q2</v>
      </c>
      <c r="E187" s="1" t="str">
        <f t="shared" si="11"/>
        <v>2025</v>
      </c>
      <c r="F187" t="s">
        <v>13</v>
      </c>
      <c r="G187" s="2">
        <v>1155.2</v>
      </c>
      <c r="H187" s="2">
        <v>1174.0999999999999</v>
      </c>
      <c r="I187" s="2">
        <v>1149.9000000000001</v>
      </c>
      <c r="J187" s="2">
        <v>1155.2</v>
      </c>
      <c r="K187" s="2">
        <v>1171</v>
      </c>
      <c r="L187" s="2">
        <v>1168.9000000000001</v>
      </c>
      <c r="M187" s="2">
        <v>1162.42</v>
      </c>
      <c r="N187" s="2">
        <v>1262.5999999999999</v>
      </c>
      <c r="O187" s="2">
        <v>882.9</v>
      </c>
      <c r="P187" s="2">
        <v>1439143</v>
      </c>
      <c r="Q187" s="2">
        <v>72564</v>
      </c>
      <c r="R187" s="2">
        <f>Table1[[#This Row],[HIGH]]-Table1[[#This Row],[LOW]]</f>
        <v>24.199999999999818</v>
      </c>
    </row>
    <row r="188" spans="1:18" x14ac:dyDescent="0.35">
      <c r="A188" s="1">
        <v>45775</v>
      </c>
      <c r="B188" s="1" t="str">
        <f t="shared" si="8"/>
        <v>Monday</v>
      </c>
      <c r="C188" s="1" t="str">
        <f t="shared" si="9"/>
        <v>April</v>
      </c>
      <c r="D188" s="1" t="str">
        <f t="shared" si="10"/>
        <v>Q2</v>
      </c>
      <c r="E188" s="1" t="str">
        <f t="shared" si="11"/>
        <v>2025</v>
      </c>
      <c r="F188" t="s">
        <v>13</v>
      </c>
      <c r="G188" s="2">
        <v>1146.0999999999999</v>
      </c>
      <c r="H188" s="2">
        <v>1162.5</v>
      </c>
      <c r="I188" s="2">
        <v>1145</v>
      </c>
      <c r="J188" s="2">
        <v>1155.7</v>
      </c>
      <c r="K188" s="2">
        <v>1154</v>
      </c>
      <c r="L188" s="2">
        <v>1155.2</v>
      </c>
      <c r="M188" s="2">
        <v>1155.44</v>
      </c>
      <c r="N188" s="2">
        <v>1262.5999999999999</v>
      </c>
      <c r="O188" s="2">
        <v>882.9</v>
      </c>
      <c r="P188" s="2">
        <v>663435</v>
      </c>
      <c r="Q188" s="2">
        <v>45266</v>
      </c>
      <c r="R188" s="2">
        <f>Table1[[#This Row],[HIGH]]-Table1[[#This Row],[LOW]]</f>
        <v>17.5</v>
      </c>
    </row>
    <row r="189" spans="1:18" x14ac:dyDescent="0.35">
      <c r="A189" s="1">
        <v>45772</v>
      </c>
      <c r="B189" s="1" t="str">
        <f t="shared" si="8"/>
        <v>Friday</v>
      </c>
      <c r="C189" s="1" t="str">
        <f t="shared" si="9"/>
        <v>April</v>
      </c>
      <c r="D189" s="1" t="str">
        <f t="shared" si="10"/>
        <v>Q2</v>
      </c>
      <c r="E189" s="1" t="str">
        <f t="shared" si="11"/>
        <v>2025</v>
      </c>
      <c r="F189" t="s">
        <v>13</v>
      </c>
      <c r="G189" s="2">
        <v>1160.2</v>
      </c>
      <c r="H189" s="2">
        <v>1165</v>
      </c>
      <c r="I189" s="2">
        <v>1130.7</v>
      </c>
      <c r="J189" s="2">
        <v>1161.3</v>
      </c>
      <c r="K189" s="2">
        <v>1149</v>
      </c>
      <c r="L189" s="2">
        <v>1155.7</v>
      </c>
      <c r="M189" s="2">
        <v>1153.03</v>
      </c>
      <c r="N189" s="2">
        <v>1262.5999999999999</v>
      </c>
      <c r="O189" s="2">
        <v>882.9</v>
      </c>
      <c r="P189" s="2">
        <v>1451946</v>
      </c>
      <c r="Q189" s="2">
        <v>78220</v>
      </c>
      <c r="R189" s="2">
        <f>Table1[[#This Row],[HIGH]]-Table1[[#This Row],[LOW]]</f>
        <v>34.299999999999955</v>
      </c>
    </row>
    <row r="190" spans="1:18" x14ac:dyDescent="0.35">
      <c r="A190" s="1">
        <v>45771</v>
      </c>
      <c r="B190" s="1" t="str">
        <f t="shared" si="8"/>
        <v>Thursday</v>
      </c>
      <c r="C190" s="1" t="str">
        <f t="shared" si="9"/>
        <v>April</v>
      </c>
      <c r="D190" s="1" t="str">
        <f t="shared" si="10"/>
        <v>Q2</v>
      </c>
      <c r="E190" s="1" t="str">
        <f t="shared" si="11"/>
        <v>2025</v>
      </c>
      <c r="F190" t="s">
        <v>13</v>
      </c>
      <c r="G190" s="2">
        <v>1151</v>
      </c>
      <c r="H190" s="2">
        <v>1168.9000000000001</v>
      </c>
      <c r="I190" s="2">
        <v>1098.3</v>
      </c>
      <c r="J190" s="2">
        <v>1150.0999999999999</v>
      </c>
      <c r="K190" s="2">
        <v>1160.9000000000001</v>
      </c>
      <c r="L190" s="2">
        <v>1161.3</v>
      </c>
      <c r="M190" s="2">
        <v>1140.3900000000001</v>
      </c>
      <c r="N190" s="2">
        <v>1262.5999999999999</v>
      </c>
      <c r="O190" s="2">
        <v>882.9</v>
      </c>
      <c r="P190" s="2">
        <v>5766752</v>
      </c>
      <c r="Q190" s="2">
        <v>193964</v>
      </c>
      <c r="R190" s="2">
        <f>Table1[[#This Row],[HIGH]]-Table1[[#This Row],[LOW]]</f>
        <v>70.600000000000136</v>
      </c>
    </row>
    <row r="191" spans="1:18" x14ac:dyDescent="0.35">
      <c r="A191" s="1">
        <v>45770</v>
      </c>
      <c r="B191" s="1" t="str">
        <f t="shared" si="8"/>
        <v>Wednesday</v>
      </c>
      <c r="C191" s="1" t="str">
        <f t="shared" si="9"/>
        <v>April</v>
      </c>
      <c r="D191" s="1" t="str">
        <f t="shared" si="10"/>
        <v>Q2</v>
      </c>
      <c r="E191" s="1" t="str">
        <f t="shared" si="11"/>
        <v>2025</v>
      </c>
      <c r="F191" t="s">
        <v>13</v>
      </c>
      <c r="G191" s="2">
        <v>1143</v>
      </c>
      <c r="H191" s="2">
        <v>1156.5999999999999</v>
      </c>
      <c r="I191" s="2">
        <v>1132.5999999999999</v>
      </c>
      <c r="J191" s="2">
        <v>1136.7</v>
      </c>
      <c r="K191" s="2">
        <v>1145</v>
      </c>
      <c r="L191" s="2">
        <v>1150.0999999999999</v>
      </c>
      <c r="M191" s="2">
        <v>1144.21</v>
      </c>
      <c r="N191" s="2">
        <v>1262.5999999999999</v>
      </c>
      <c r="O191" s="2">
        <v>882.9</v>
      </c>
      <c r="P191" s="2">
        <v>1760325</v>
      </c>
      <c r="Q191" s="2">
        <v>63417</v>
      </c>
      <c r="R191" s="2">
        <f>Table1[[#This Row],[HIGH]]-Table1[[#This Row],[LOW]]</f>
        <v>24</v>
      </c>
    </row>
    <row r="192" spans="1:18" x14ac:dyDescent="0.35">
      <c r="A192" s="1">
        <v>45769</v>
      </c>
      <c r="B192" s="1" t="str">
        <f t="shared" si="8"/>
        <v>Tuesday</v>
      </c>
      <c r="C192" s="1" t="str">
        <f t="shared" si="9"/>
        <v>April</v>
      </c>
      <c r="D192" s="1" t="str">
        <f t="shared" si="10"/>
        <v>Q2</v>
      </c>
      <c r="E192" s="1" t="str">
        <f t="shared" si="11"/>
        <v>2025</v>
      </c>
      <c r="F192" t="s">
        <v>13</v>
      </c>
      <c r="G192" s="2">
        <v>1121.7</v>
      </c>
      <c r="H192" s="2">
        <v>1149</v>
      </c>
      <c r="I192" s="2">
        <v>1118.2</v>
      </c>
      <c r="J192" s="2">
        <v>1121</v>
      </c>
      <c r="K192" s="2">
        <v>1138.5999999999999</v>
      </c>
      <c r="L192" s="2">
        <v>1136.7</v>
      </c>
      <c r="M192" s="2">
        <v>1138.3900000000001</v>
      </c>
      <c r="N192" s="2">
        <v>1262.5999999999999</v>
      </c>
      <c r="O192" s="2">
        <v>882.9</v>
      </c>
      <c r="P192" s="2">
        <v>1231830</v>
      </c>
      <c r="Q192" s="2">
        <v>59611</v>
      </c>
      <c r="R192" s="2">
        <f>Table1[[#This Row],[HIGH]]-Table1[[#This Row],[LOW]]</f>
        <v>30.799999999999955</v>
      </c>
    </row>
    <row r="193" spans="1:18" x14ac:dyDescent="0.35">
      <c r="A193" s="1">
        <v>45768</v>
      </c>
      <c r="B193" s="1" t="str">
        <f t="shared" si="8"/>
        <v>Monday</v>
      </c>
      <c r="C193" s="1" t="str">
        <f t="shared" si="9"/>
        <v>April</v>
      </c>
      <c r="D193" s="1" t="str">
        <f t="shared" si="10"/>
        <v>Q2</v>
      </c>
      <c r="E193" s="1" t="str">
        <f t="shared" si="11"/>
        <v>2025</v>
      </c>
      <c r="F193" t="s">
        <v>13</v>
      </c>
      <c r="G193" s="2">
        <v>1120.2</v>
      </c>
      <c r="H193" s="2">
        <v>1129.5</v>
      </c>
      <c r="I193" s="2">
        <v>1102.4000000000001</v>
      </c>
      <c r="J193" s="2">
        <v>1120.2</v>
      </c>
      <c r="K193" s="2">
        <v>1121.7</v>
      </c>
      <c r="L193" s="2">
        <v>1121</v>
      </c>
      <c r="M193" s="2">
        <v>1120.22</v>
      </c>
      <c r="N193" s="2">
        <v>1262.5999999999999</v>
      </c>
      <c r="O193" s="2">
        <v>882.9</v>
      </c>
      <c r="P193" s="2">
        <v>692767</v>
      </c>
      <c r="Q193" s="2">
        <v>36968</v>
      </c>
      <c r="R193" s="2">
        <f>Table1[[#This Row],[HIGH]]-Table1[[#This Row],[LOW]]</f>
        <v>27.099999999999909</v>
      </c>
    </row>
    <row r="194" spans="1:18" x14ac:dyDescent="0.35">
      <c r="A194" s="1">
        <v>45764</v>
      </c>
      <c r="B194" s="1" t="str">
        <f t="shared" si="8"/>
        <v>Thursday</v>
      </c>
      <c r="C194" s="1" t="str">
        <f t="shared" si="9"/>
        <v>April</v>
      </c>
      <c r="D194" s="1" t="str">
        <f t="shared" si="10"/>
        <v>Q2</v>
      </c>
      <c r="E194" s="1" t="str">
        <f t="shared" si="11"/>
        <v>2025</v>
      </c>
      <c r="F194" t="s">
        <v>13</v>
      </c>
      <c r="G194" s="2">
        <v>1104</v>
      </c>
      <c r="H194" s="2">
        <v>1133.8</v>
      </c>
      <c r="I194" s="2">
        <v>1094.5</v>
      </c>
      <c r="J194" s="2">
        <v>1105.9000000000001</v>
      </c>
      <c r="K194" s="2">
        <v>1119</v>
      </c>
      <c r="L194" s="2">
        <v>1120.2</v>
      </c>
      <c r="M194" s="2">
        <v>1117.53</v>
      </c>
      <c r="N194" s="2">
        <v>1262.5999999999999</v>
      </c>
      <c r="O194" s="2">
        <v>882.9</v>
      </c>
      <c r="P194" s="2">
        <v>1541674</v>
      </c>
      <c r="Q194" s="2">
        <v>79947</v>
      </c>
      <c r="R194" s="2">
        <f>Table1[[#This Row],[HIGH]]-Table1[[#This Row],[LOW]]</f>
        <v>39.299999999999955</v>
      </c>
    </row>
    <row r="195" spans="1:18" x14ac:dyDescent="0.35">
      <c r="A195" s="1">
        <v>45763</v>
      </c>
      <c r="B195" s="1" t="str">
        <f t="shared" ref="B195:B247" si="12">TEXT(A195,"dddd")</f>
        <v>Wednesday</v>
      </c>
      <c r="C195" s="1" t="str">
        <f t="shared" ref="C195:C247" si="13">TEXT(A195,"mmmm")</f>
        <v>April</v>
      </c>
      <c r="D195" s="1" t="str">
        <f t="shared" ref="D195:D247" si="14">"Q"&amp;ROUNDUP(MONTH(A195)/3,0)</f>
        <v>Q2</v>
      </c>
      <c r="E195" s="1" t="str">
        <f t="shared" ref="E195:E247" si="15">TEXT(A195,"yyyy")</f>
        <v>2025</v>
      </c>
      <c r="F195" t="s">
        <v>13</v>
      </c>
      <c r="G195" s="2">
        <v>1094.0999999999999</v>
      </c>
      <c r="H195" s="2">
        <v>1108.9000000000001</v>
      </c>
      <c r="I195" s="2">
        <v>1086.8</v>
      </c>
      <c r="J195" s="2">
        <v>1103.4000000000001</v>
      </c>
      <c r="K195" s="2">
        <v>1106</v>
      </c>
      <c r="L195" s="2">
        <v>1105.9000000000001</v>
      </c>
      <c r="M195" s="2">
        <v>1099.96</v>
      </c>
      <c r="N195" s="2">
        <v>1262.5999999999999</v>
      </c>
      <c r="O195" s="2">
        <v>882.9</v>
      </c>
      <c r="P195" s="2">
        <v>679360</v>
      </c>
      <c r="Q195" s="2">
        <v>34203</v>
      </c>
      <c r="R195" s="2">
        <f>Table1[[#This Row],[HIGH]]-Table1[[#This Row],[LOW]]</f>
        <v>22.100000000000136</v>
      </c>
    </row>
    <row r="196" spans="1:18" x14ac:dyDescent="0.35">
      <c r="A196" s="1">
        <v>45762</v>
      </c>
      <c r="B196" s="1" t="str">
        <f t="shared" si="12"/>
        <v>Tuesday</v>
      </c>
      <c r="C196" s="1" t="str">
        <f t="shared" si="13"/>
        <v>April</v>
      </c>
      <c r="D196" s="1" t="str">
        <f t="shared" si="14"/>
        <v>Q2</v>
      </c>
      <c r="E196" s="1" t="str">
        <f t="shared" si="15"/>
        <v>2025</v>
      </c>
      <c r="F196" t="s">
        <v>13</v>
      </c>
      <c r="G196" s="2">
        <v>1108.3</v>
      </c>
      <c r="H196" s="2">
        <v>1111</v>
      </c>
      <c r="I196" s="2">
        <v>1094.0999999999999</v>
      </c>
      <c r="J196" s="2">
        <v>1097.9000000000001</v>
      </c>
      <c r="K196" s="2">
        <v>1102.7</v>
      </c>
      <c r="L196" s="2">
        <v>1103.4000000000001</v>
      </c>
      <c r="M196" s="2">
        <v>1101.8900000000001</v>
      </c>
      <c r="N196" s="2">
        <v>1262.5999999999999</v>
      </c>
      <c r="O196" s="2">
        <v>882.9</v>
      </c>
      <c r="P196" s="2">
        <v>1023355</v>
      </c>
      <c r="Q196" s="2">
        <v>39828</v>
      </c>
      <c r="R196" s="2">
        <f>Table1[[#This Row],[HIGH]]-Table1[[#This Row],[LOW]]</f>
        <v>16.900000000000091</v>
      </c>
    </row>
    <row r="197" spans="1:18" x14ac:dyDescent="0.35">
      <c r="A197" s="1">
        <v>45758</v>
      </c>
      <c r="B197" s="1" t="str">
        <f t="shared" si="12"/>
        <v>Friday</v>
      </c>
      <c r="C197" s="1" t="str">
        <f t="shared" si="13"/>
        <v>April</v>
      </c>
      <c r="D197" s="1" t="str">
        <f t="shared" si="14"/>
        <v>Q2</v>
      </c>
      <c r="E197" s="1" t="str">
        <f t="shared" si="15"/>
        <v>2025</v>
      </c>
      <c r="F197" t="s">
        <v>13</v>
      </c>
      <c r="G197" s="2">
        <v>1125</v>
      </c>
      <c r="H197" s="2">
        <v>1126</v>
      </c>
      <c r="I197" s="2">
        <v>1093.75</v>
      </c>
      <c r="J197" s="2">
        <v>1089.75</v>
      </c>
      <c r="K197" s="2">
        <v>1100</v>
      </c>
      <c r="L197" s="2">
        <v>1097.9000000000001</v>
      </c>
      <c r="M197" s="2">
        <v>1103.6199999999999</v>
      </c>
      <c r="N197" s="2">
        <v>1262.5999999999999</v>
      </c>
      <c r="O197" s="2">
        <v>882.9</v>
      </c>
      <c r="P197" s="2">
        <v>1888677</v>
      </c>
      <c r="Q197" s="2">
        <v>60151</v>
      </c>
      <c r="R197" s="2">
        <f>Table1[[#This Row],[HIGH]]-Table1[[#This Row],[LOW]]</f>
        <v>32.25</v>
      </c>
    </row>
    <row r="198" spans="1:18" x14ac:dyDescent="0.35">
      <c r="A198" s="1">
        <v>45756</v>
      </c>
      <c r="B198" s="1" t="str">
        <f t="shared" si="12"/>
        <v>Wednesday</v>
      </c>
      <c r="C198" s="1" t="str">
        <f t="shared" si="13"/>
        <v>April</v>
      </c>
      <c r="D198" s="1" t="str">
        <f t="shared" si="14"/>
        <v>Q2</v>
      </c>
      <c r="E198" s="1" t="str">
        <f t="shared" si="15"/>
        <v>2025</v>
      </c>
      <c r="F198" t="s">
        <v>13</v>
      </c>
      <c r="G198" s="2">
        <v>1062</v>
      </c>
      <c r="H198" s="2">
        <v>1092.95</v>
      </c>
      <c r="I198" s="2">
        <v>1060.05</v>
      </c>
      <c r="J198" s="2">
        <v>1069.75</v>
      </c>
      <c r="K198" s="2">
        <v>1087.55</v>
      </c>
      <c r="L198" s="2">
        <v>1089.75</v>
      </c>
      <c r="M198" s="2">
        <v>1084.48</v>
      </c>
      <c r="N198" s="2">
        <v>1262.5999999999999</v>
      </c>
      <c r="O198" s="2">
        <v>882.9</v>
      </c>
      <c r="P198" s="2">
        <v>2274161</v>
      </c>
      <c r="Q198" s="2">
        <v>84220</v>
      </c>
      <c r="R198" s="2">
        <f>Table1[[#This Row],[HIGH]]-Table1[[#This Row],[LOW]]</f>
        <v>32.900000000000091</v>
      </c>
    </row>
    <row r="199" spans="1:18" x14ac:dyDescent="0.35">
      <c r="A199" s="1">
        <v>45755</v>
      </c>
      <c r="B199" s="1" t="str">
        <f t="shared" si="12"/>
        <v>Tuesday</v>
      </c>
      <c r="C199" s="1" t="str">
        <f t="shared" si="13"/>
        <v>April</v>
      </c>
      <c r="D199" s="1" t="str">
        <f t="shared" si="14"/>
        <v>Q2</v>
      </c>
      <c r="E199" s="1" t="str">
        <f t="shared" si="15"/>
        <v>2025</v>
      </c>
      <c r="F199" t="s">
        <v>13</v>
      </c>
      <c r="G199" s="2">
        <v>1056</v>
      </c>
      <c r="H199" s="2">
        <v>1073.5</v>
      </c>
      <c r="I199" s="2">
        <v>1044.75</v>
      </c>
      <c r="J199" s="2">
        <v>1047.3499999999999</v>
      </c>
      <c r="K199" s="2">
        <v>1067.0999999999999</v>
      </c>
      <c r="L199" s="2">
        <v>1069.75</v>
      </c>
      <c r="M199" s="2">
        <v>1060.48</v>
      </c>
      <c r="N199" s="2">
        <v>1262.5999999999999</v>
      </c>
      <c r="O199" s="2">
        <v>882.9</v>
      </c>
      <c r="P199" s="2">
        <v>1444712</v>
      </c>
      <c r="Q199" s="2">
        <v>65161</v>
      </c>
      <c r="R199" s="2">
        <f>Table1[[#This Row],[HIGH]]-Table1[[#This Row],[LOW]]</f>
        <v>28.75</v>
      </c>
    </row>
    <row r="200" spans="1:18" x14ac:dyDescent="0.35">
      <c r="A200" s="1">
        <v>45754</v>
      </c>
      <c r="B200" s="1" t="str">
        <f t="shared" si="12"/>
        <v>Monday</v>
      </c>
      <c r="C200" s="1" t="str">
        <f t="shared" si="13"/>
        <v>April</v>
      </c>
      <c r="D200" s="1" t="str">
        <f t="shared" si="14"/>
        <v>Q2</v>
      </c>
      <c r="E200" s="1" t="str">
        <f t="shared" si="15"/>
        <v>2025</v>
      </c>
      <c r="F200" t="s">
        <v>13</v>
      </c>
      <c r="G200" s="2">
        <v>1019</v>
      </c>
      <c r="H200" s="2">
        <v>1077.7</v>
      </c>
      <c r="I200" s="2">
        <v>1019</v>
      </c>
      <c r="J200" s="2">
        <v>1087.8499999999999</v>
      </c>
      <c r="K200" s="2">
        <v>1048</v>
      </c>
      <c r="L200" s="2">
        <v>1047.3499999999999</v>
      </c>
      <c r="M200" s="2">
        <v>1048.8399999999999</v>
      </c>
      <c r="N200" s="2">
        <v>1262.5999999999999</v>
      </c>
      <c r="O200" s="2">
        <v>882.9</v>
      </c>
      <c r="P200" s="2">
        <v>3200820</v>
      </c>
      <c r="Q200" s="2">
        <v>133539</v>
      </c>
      <c r="R200" s="2">
        <f>Table1[[#This Row],[HIGH]]-Table1[[#This Row],[LOW]]</f>
        <v>58.700000000000045</v>
      </c>
    </row>
    <row r="201" spans="1:18" x14ac:dyDescent="0.35">
      <c r="A201" s="1">
        <v>45751</v>
      </c>
      <c r="B201" s="1" t="str">
        <f t="shared" si="12"/>
        <v>Friday</v>
      </c>
      <c r="C201" s="1" t="str">
        <f t="shared" si="13"/>
        <v>April</v>
      </c>
      <c r="D201" s="1" t="str">
        <f t="shared" si="14"/>
        <v>Q2</v>
      </c>
      <c r="E201" s="1" t="str">
        <f t="shared" si="15"/>
        <v>2025</v>
      </c>
      <c r="F201" t="s">
        <v>13</v>
      </c>
      <c r="G201" s="2">
        <v>1065.45</v>
      </c>
      <c r="H201" s="2">
        <v>1095.55</v>
      </c>
      <c r="I201" s="2">
        <v>1062.9000000000001</v>
      </c>
      <c r="J201" s="2">
        <v>1071</v>
      </c>
      <c r="K201" s="2">
        <v>1088</v>
      </c>
      <c r="L201" s="2">
        <v>1087.8499999999999</v>
      </c>
      <c r="M201" s="2">
        <v>1087.3699999999999</v>
      </c>
      <c r="N201" s="2">
        <v>1262.5999999999999</v>
      </c>
      <c r="O201" s="2">
        <v>882.9</v>
      </c>
      <c r="P201" s="2">
        <v>4089261</v>
      </c>
      <c r="Q201" s="2">
        <v>117334</v>
      </c>
      <c r="R201" s="2">
        <f>Table1[[#This Row],[HIGH]]-Table1[[#This Row],[LOW]]</f>
        <v>32.649999999999864</v>
      </c>
    </row>
    <row r="202" spans="1:18" x14ac:dyDescent="0.35">
      <c r="A202" s="1">
        <v>45750</v>
      </c>
      <c r="B202" s="1" t="str">
        <f t="shared" si="12"/>
        <v>Thursday</v>
      </c>
      <c r="C202" s="1" t="str">
        <f t="shared" si="13"/>
        <v>April</v>
      </c>
      <c r="D202" s="1" t="str">
        <f t="shared" si="14"/>
        <v>Q2</v>
      </c>
      <c r="E202" s="1" t="str">
        <f t="shared" si="15"/>
        <v>2025</v>
      </c>
      <c r="F202" t="s">
        <v>13</v>
      </c>
      <c r="G202" s="2">
        <v>1049.9000000000001</v>
      </c>
      <c r="H202" s="2">
        <v>1075.25</v>
      </c>
      <c r="I202" s="2">
        <v>1048.0999999999999</v>
      </c>
      <c r="J202" s="2">
        <v>1062.7</v>
      </c>
      <c r="K202" s="2">
        <v>1068.6500000000001</v>
      </c>
      <c r="L202" s="2">
        <v>1071</v>
      </c>
      <c r="M202" s="2">
        <v>1068.54</v>
      </c>
      <c r="N202" s="2">
        <v>1262.5999999999999</v>
      </c>
      <c r="O202" s="2">
        <v>882.9</v>
      </c>
      <c r="P202" s="2">
        <v>1595000</v>
      </c>
      <c r="Q202" s="2">
        <v>56627</v>
      </c>
      <c r="R202" s="2">
        <f>Table1[[#This Row],[HIGH]]-Table1[[#This Row],[LOW]]</f>
        <v>27.150000000000091</v>
      </c>
    </row>
    <row r="203" spans="1:18" x14ac:dyDescent="0.35">
      <c r="A203" s="1">
        <v>45749</v>
      </c>
      <c r="B203" s="1" t="str">
        <f t="shared" si="12"/>
        <v>Wednesday</v>
      </c>
      <c r="C203" s="1" t="str">
        <f t="shared" si="13"/>
        <v>April</v>
      </c>
      <c r="D203" s="1" t="str">
        <f t="shared" si="14"/>
        <v>Q2</v>
      </c>
      <c r="E203" s="1" t="str">
        <f t="shared" si="15"/>
        <v>2025</v>
      </c>
      <c r="F203" t="s">
        <v>13</v>
      </c>
      <c r="G203" s="2">
        <v>1018</v>
      </c>
      <c r="H203" s="2">
        <v>1073.1500000000001</v>
      </c>
      <c r="I203" s="2">
        <v>1015</v>
      </c>
      <c r="J203" s="2">
        <v>992.25</v>
      </c>
      <c r="K203" s="2">
        <v>1060.8</v>
      </c>
      <c r="L203" s="2">
        <v>1062.7</v>
      </c>
      <c r="M203" s="2">
        <v>1058.24</v>
      </c>
      <c r="N203" s="2">
        <v>1262.5999999999999</v>
      </c>
      <c r="O203" s="2">
        <v>882.9</v>
      </c>
      <c r="P203" s="2">
        <v>8717812</v>
      </c>
      <c r="Q203" s="2">
        <v>219419</v>
      </c>
      <c r="R203" s="2">
        <f>Table1[[#This Row],[HIGH]]-Table1[[#This Row],[LOW]]</f>
        <v>58.150000000000091</v>
      </c>
    </row>
    <row r="204" spans="1:18" x14ac:dyDescent="0.35">
      <c r="A204" s="1">
        <v>45748</v>
      </c>
      <c r="B204" s="1" t="str">
        <f t="shared" si="12"/>
        <v>Tuesday</v>
      </c>
      <c r="C204" s="1" t="str">
        <f t="shared" si="13"/>
        <v>April</v>
      </c>
      <c r="D204" s="1" t="str">
        <f t="shared" si="14"/>
        <v>Q2</v>
      </c>
      <c r="E204" s="1" t="str">
        <f t="shared" si="15"/>
        <v>2025</v>
      </c>
      <c r="F204" t="s">
        <v>13</v>
      </c>
      <c r="G204" s="2">
        <v>1003</v>
      </c>
      <c r="H204" s="2">
        <v>1014.55</v>
      </c>
      <c r="I204" s="2">
        <v>989.25</v>
      </c>
      <c r="J204" s="2">
        <v>1001.9</v>
      </c>
      <c r="K204" s="2">
        <v>992.4</v>
      </c>
      <c r="L204" s="2">
        <v>992.25</v>
      </c>
      <c r="M204" s="2">
        <v>999.17</v>
      </c>
      <c r="N204" s="2">
        <v>1262.5999999999999</v>
      </c>
      <c r="O204" s="2">
        <v>882.9</v>
      </c>
      <c r="P204" s="2">
        <v>1045548</v>
      </c>
      <c r="Q204" s="2">
        <v>37298</v>
      </c>
      <c r="R204" s="2">
        <f>Table1[[#This Row],[HIGH]]-Table1[[#This Row],[LOW]]</f>
        <v>25.299999999999955</v>
      </c>
    </row>
    <row r="205" spans="1:18" x14ac:dyDescent="0.35">
      <c r="A205" s="1">
        <v>45744</v>
      </c>
      <c r="B205" s="1" t="str">
        <f t="shared" si="12"/>
        <v>Friday</v>
      </c>
      <c r="C205" s="1" t="str">
        <f t="shared" si="13"/>
        <v>March</v>
      </c>
      <c r="D205" s="1" t="str">
        <f t="shared" si="14"/>
        <v>Q1</v>
      </c>
      <c r="E205" s="1" t="str">
        <f t="shared" si="15"/>
        <v>2025</v>
      </c>
      <c r="F205" t="s">
        <v>13</v>
      </c>
      <c r="G205" s="2">
        <v>975.5</v>
      </c>
      <c r="H205" s="2">
        <v>1015</v>
      </c>
      <c r="I205" s="2">
        <v>975</v>
      </c>
      <c r="J205" s="2">
        <v>973.55</v>
      </c>
      <c r="K205" s="2">
        <v>1001.9</v>
      </c>
      <c r="L205" s="2">
        <v>1001.9</v>
      </c>
      <c r="M205" s="2">
        <v>1004.62</v>
      </c>
      <c r="N205" s="2">
        <v>1262.5999999999999</v>
      </c>
      <c r="O205" s="2">
        <v>882.9</v>
      </c>
      <c r="P205" s="2">
        <v>2313101</v>
      </c>
      <c r="Q205" s="2">
        <v>93268</v>
      </c>
      <c r="R205" s="2">
        <f>Table1[[#This Row],[HIGH]]-Table1[[#This Row],[LOW]]</f>
        <v>40</v>
      </c>
    </row>
    <row r="206" spans="1:18" x14ac:dyDescent="0.35">
      <c r="A206" s="1">
        <v>45743</v>
      </c>
      <c r="B206" s="1" t="str">
        <f t="shared" si="12"/>
        <v>Thursday</v>
      </c>
      <c r="C206" s="1" t="str">
        <f t="shared" si="13"/>
        <v>March</v>
      </c>
      <c r="D206" s="1" t="str">
        <f t="shared" si="14"/>
        <v>Q1</v>
      </c>
      <c r="E206" s="1" t="str">
        <f t="shared" si="15"/>
        <v>2025</v>
      </c>
      <c r="F206" t="s">
        <v>13</v>
      </c>
      <c r="G206" s="2">
        <v>963</v>
      </c>
      <c r="H206" s="2">
        <v>980.4</v>
      </c>
      <c r="I206" s="2">
        <v>952.5</v>
      </c>
      <c r="J206" s="2">
        <v>959.65</v>
      </c>
      <c r="K206" s="2">
        <v>977.45</v>
      </c>
      <c r="L206" s="2">
        <v>973.55</v>
      </c>
      <c r="M206" s="2">
        <v>971.33</v>
      </c>
      <c r="N206" s="2">
        <v>1262.5999999999999</v>
      </c>
      <c r="O206" s="2">
        <v>882.9</v>
      </c>
      <c r="P206" s="2">
        <v>2585170</v>
      </c>
      <c r="Q206" s="2">
        <v>69685</v>
      </c>
      <c r="R206" s="2">
        <f>Table1[[#This Row],[HIGH]]-Table1[[#This Row],[LOW]]</f>
        <v>27.899999999999977</v>
      </c>
    </row>
    <row r="207" spans="1:18" x14ac:dyDescent="0.35">
      <c r="A207" s="1">
        <v>45742</v>
      </c>
      <c r="B207" s="1" t="str">
        <f t="shared" si="12"/>
        <v>Wednesday</v>
      </c>
      <c r="C207" s="1" t="str">
        <f t="shared" si="13"/>
        <v>March</v>
      </c>
      <c r="D207" s="1" t="str">
        <f t="shared" si="14"/>
        <v>Q1</v>
      </c>
      <c r="E207" s="1" t="str">
        <f t="shared" si="15"/>
        <v>2025</v>
      </c>
      <c r="F207" t="s">
        <v>13</v>
      </c>
      <c r="G207" s="2">
        <v>975</v>
      </c>
      <c r="H207" s="2">
        <v>976.3</v>
      </c>
      <c r="I207" s="2">
        <v>956.95</v>
      </c>
      <c r="J207" s="2">
        <v>970.7</v>
      </c>
      <c r="K207" s="2">
        <v>956.95</v>
      </c>
      <c r="L207" s="2">
        <v>959.65</v>
      </c>
      <c r="M207" s="2">
        <v>962.95</v>
      </c>
      <c r="N207" s="2">
        <v>1262.5999999999999</v>
      </c>
      <c r="O207" s="2">
        <v>882.9</v>
      </c>
      <c r="P207" s="2">
        <v>1399118</v>
      </c>
      <c r="Q207" s="2">
        <v>59811</v>
      </c>
      <c r="R207" s="2">
        <f>Table1[[#This Row],[HIGH]]-Table1[[#This Row],[LOW]]</f>
        <v>19.349999999999909</v>
      </c>
    </row>
    <row r="208" spans="1:18" x14ac:dyDescent="0.35">
      <c r="A208" s="1">
        <v>45741</v>
      </c>
      <c r="B208" s="1" t="str">
        <f t="shared" si="12"/>
        <v>Tuesday</v>
      </c>
      <c r="C208" s="1" t="str">
        <f t="shared" si="13"/>
        <v>March</v>
      </c>
      <c r="D208" s="1" t="str">
        <f t="shared" si="14"/>
        <v>Q1</v>
      </c>
      <c r="E208" s="1" t="str">
        <f t="shared" si="15"/>
        <v>2025</v>
      </c>
      <c r="F208" t="s">
        <v>13</v>
      </c>
      <c r="G208" s="2">
        <v>979</v>
      </c>
      <c r="H208" s="2">
        <v>979.9</v>
      </c>
      <c r="I208" s="2">
        <v>959</v>
      </c>
      <c r="J208" s="2">
        <v>970.45</v>
      </c>
      <c r="K208" s="2">
        <v>970</v>
      </c>
      <c r="L208" s="2">
        <v>970.7</v>
      </c>
      <c r="M208" s="2">
        <v>970.33</v>
      </c>
      <c r="N208" s="2">
        <v>1262.5999999999999</v>
      </c>
      <c r="O208" s="2">
        <v>882.9</v>
      </c>
      <c r="P208" s="2">
        <v>1569597</v>
      </c>
      <c r="Q208" s="2">
        <v>52311</v>
      </c>
      <c r="R208" s="2">
        <f>Table1[[#This Row],[HIGH]]-Table1[[#This Row],[LOW]]</f>
        <v>20.899999999999977</v>
      </c>
    </row>
    <row r="209" spans="1:18" x14ac:dyDescent="0.35">
      <c r="A209" s="1">
        <v>45740</v>
      </c>
      <c r="B209" s="1" t="str">
        <f t="shared" si="12"/>
        <v>Monday</v>
      </c>
      <c r="C209" s="1" t="str">
        <f t="shared" si="13"/>
        <v>March</v>
      </c>
      <c r="D209" s="1" t="str">
        <f t="shared" si="14"/>
        <v>Q1</v>
      </c>
      <c r="E209" s="1" t="str">
        <f t="shared" si="15"/>
        <v>2025</v>
      </c>
      <c r="F209" t="s">
        <v>13</v>
      </c>
      <c r="G209" s="2">
        <v>965.25</v>
      </c>
      <c r="H209" s="2">
        <v>976.15</v>
      </c>
      <c r="I209" s="2">
        <v>956.5</v>
      </c>
      <c r="J209" s="2">
        <v>961.2</v>
      </c>
      <c r="K209" s="2">
        <v>974.65</v>
      </c>
      <c r="L209" s="2">
        <v>970.45</v>
      </c>
      <c r="M209" s="2">
        <v>968.59</v>
      </c>
      <c r="N209" s="2">
        <v>1262.5999999999999</v>
      </c>
      <c r="O209" s="2">
        <v>882.9</v>
      </c>
      <c r="P209" s="2">
        <v>1475967</v>
      </c>
      <c r="Q209" s="2">
        <v>49671</v>
      </c>
      <c r="R209" s="2">
        <f>Table1[[#This Row],[HIGH]]-Table1[[#This Row],[LOW]]</f>
        <v>19.649999999999977</v>
      </c>
    </row>
    <row r="210" spans="1:18" x14ac:dyDescent="0.35">
      <c r="A210" s="1">
        <v>45737</v>
      </c>
      <c r="B210" s="1" t="str">
        <f t="shared" si="12"/>
        <v>Friday</v>
      </c>
      <c r="C210" s="1" t="str">
        <f t="shared" si="13"/>
        <v>March</v>
      </c>
      <c r="D210" s="1" t="str">
        <f t="shared" si="14"/>
        <v>Q1</v>
      </c>
      <c r="E210" s="1" t="str">
        <f t="shared" si="15"/>
        <v>2025</v>
      </c>
      <c r="F210" t="s">
        <v>13</v>
      </c>
      <c r="G210" s="2">
        <v>968</v>
      </c>
      <c r="H210" s="2">
        <v>972.15</v>
      </c>
      <c r="I210" s="2">
        <v>956.6</v>
      </c>
      <c r="J210" s="2">
        <v>965.85</v>
      </c>
      <c r="K210" s="2">
        <v>964</v>
      </c>
      <c r="L210" s="2">
        <v>961.2</v>
      </c>
      <c r="M210" s="2">
        <v>964.29</v>
      </c>
      <c r="N210" s="2">
        <v>1262.5999999999999</v>
      </c>
      <c r="O210" s="2">
        <v>882.9</v>
      </c>
      <c r="P210" s="2">
        <v>3155551</v>
      </c>
      <c r="Q210" s="2">
        <v>67717</v>
      </c>
      <c r="R210" s="2">
        <f>Table1[[#This Row],[HIGH]]-Table1[[#This Row],[LOW]]</f>
        <v>15.549999999999955</v>
      </c>
    </row>
    <row r="211" spans="1:18" x14ac:dyDescent="0.35">
      <c r="A211" s="1">
        <v>45736</v>
      </c>
      <c r="B211" s="1" t="str">
        <f t="shared" si="12"/>
        <v>Thursday</v>
      </c>
      <c r="C211" s="1" t="str">
        <f t="shared" si="13"/>
        <v>March</v>
      </c>
      <c r="D211" s="1" t="str">
        <f t="shared" si="14"/>
        <v>Q1</v>
      </c>
      <c r="E211" s="1" t="str">
        <f t="shared" si="15"/>
        <v>2025</v>
      </c>
      <c r="F211" t="s">
        <v>13</v>
      </c>
      <c r="G211" s="2">
        <v>953.1</v>
      </c>
      <c r="H211" s="2">
        <v>967.7</v>
      </c>
      <c r="I211" s="2">
        <v>950.25</v>
      </c>
      <c r="J211" s="2">
        <v>949.85</v>
      </c>
      <c r="K211" s="2">
        <v>966</v>
      </c>
      <c r="L211" s="2">
        <v>965.85</v>
      </c>
      <c r="M211" s="2">
        <v>959</v>
      </c>
      <c r="N211" s="2">
        <v>1262.5999999999999</v>
      </c>
      <c r="O211" s="2">
        <v>882.9</v>
      </c>
      <c r="P211" s="2">
        <v>2403031</v>
      </c>
      <c r="Q211" s="2">
        <v>55437</v>
      </c>
      <c r="R211" s="2">
        <f>Table1[[#This Row],[HIGH]]-Table1[[#This Row],[LOW]]</f>
        <v>17.450000000000045</v>
      </c>
    </row>
    <row r="212" spans="1:18" x14ac:dyDescent="0.35">
      <c r="A212" s="1">
        <v>45735</v>
      </c>
      <c r="B212" s="1" t="str">
        <f t="shared" si="12"/>
        <v>Wednesday</v>
      </c>
      <c r="C212" s="1" t="str">
        <f t="shared" si="13"/>
        <v>March</v>
      </c>
      <c r="D212" s="1" t="str">
        <f t="shared" si="14"/>
        <v>Q1</v>
      </c>
      <c r="E212" s="1" t="str">
        <f t="shared" si="15"/>
        <v>2025</v>
      </c>
      <c r="F212" t="s">
        <v>13</v>
      </c>
      <c r="G212" s="2">
        <v>947.5</v>
      </c>
      <c r="H212" s="2">
        <v>959.85</v>
      </c>
      <c r="I212" s="2">
        <v>945.25</v>
      </c>
      <c r="J212" s="2">
        <v>946.85</v>
      </c>
      <c r="K212" s="2">
        <v>952</v>
      </c>
      <c r="L212" s="2">
        <v>949.85</v>
      </c>
      <c r="M212" s="2">
        <v>951.16</v>
      </c>
      <c r="N212" s="2">
        <v>1262.5999999999999</v>
      </c>
      <c r="O212" s="2">
        <v>882.9</v>
      </c>
      <c r="P212" s="2">
        <v>1650477</v>
      </c>
      <c r="Q212" s="2">
        <v>40877</v>
      </c>
      <c r="R212" s="2">
        <f>Table1[[#This Row],[HIGH]]-Table1[[#This Row],[LOW]]</f>
        <v>14.600000000000023</v>
      </c>
    </row>
    <row r="213" spans="1:18" x14ac:dyDescent="0.35">
      <c r="A213" s="1">
        <v>45734</v>
      </c>
      <c r="B213" s="1" t="str">
        <f t="shared" si="12"/>
        <v>Tuesday</v>
      </c>
      <c r="C213" s="1" t="str">
        <f t="shared" si="13"/>
        <v>March</v>
      </c>
      <c r="D213" s="1" t="str">
        <f t="shared" si="14"/>
        <v>Q1</v>
      </c>
      <c r="E213" s="1" t="str">
        <f t="shared" si="15"/>
        <v>2025</v>
      </c>
      <c r="F213" t="s">
        <v>13</v>
      </c>
      <c r="G213" s="2">
        <v>941.05</v>
      </c>
      <c r="H213" s="2">
        <v>950.6</v>
      </c>
      <c r="I213" s="2">
        <v>938.15</v>
      </c>
      <c r="J213" s="2">
        <v>940.45</v>
      </c>
      <c r="K213" s="2">
        <v>948.05</v>
      </c>
      <c r="L213" s="2">
        <v>946.85</v>
      </c>
      <c r="M213" s="2">
        <v>945.46</v>
      </c>
      <c r="N213" s="2">
        <v>1262.5999999999999</v>
      </c>
      <c r="O213" s="2">
        <v>882.9</v>
      </c>
      <c r="P213" s="2">
        <v>2343994</v>
      </c>
      <c r="Q213" s="2">
        <v>59784</v>
      </c>
      <c r="R213" s="2">
        <f>Table1[[#This Row],[HIGH]]-Table1[[#This Row],[LOW]]</f>
        <v>12.450000000000045</v>
      </c>
    </row>
    <row r="214" spans="1:18" x14ac:dyDescent="0.35">
      <c r="A214" s="1">
        <v>45733</v>
      </c>
      <c r="B214" s="1" t="str">
        <f t="shared" si="12"/>
        <v>Monday</v>
      </c>
      <c r="C214" s="1" t="str">
        <f t="shared" si="13"/>
        <v>March</v>
      </c>
      <c r="D214" s="1" t="str">
        <f t="shared" si="14"/>
        <v>Q1</v>
      </c>
      <c r="E214" s="1" t="str">
        <f t="shared" si="15"/>
        <v>2025</v>
      </c>
      <c r="F214" t="s">
        <v>13</v>
      </c>
      <c r="G214" s="2">
        <v>946.1</v>
      </c>
      <c r="H214" s="2">
        <v>956.5</v>
      </c>
      <c r="I214" s="2">
        <v>934.6</v>
      </c>
      <c r="J214" s="2">
        <v>946.1</v>
      </c>
      <c r="K214" s="2">
        <v>941.4</v>
      </c>
      <c r="L214" s="2">
        <v>940.45</v>
      </c>
      <c r="M214" s="2">
        <v>942.97</v>
      </c>
      <c r="N214" s="2">
        <v>1262.5999999999999</v>
      </c>
      <c r="O214" s="2">
        <v>882.9</v>
      </c>
      <c r="P214" s="2">
        <v>993027</v>
      </c>
      <c r="Q214" s="2">
        <v>45745</v>
      </c>
      <c r="R214" s="2">
        <f>Table1[[#This Row],[HIGH]]-Table1[[#This Row],[LOW]]</f>
        <v>21.899999999999977</v>
      </c>
    </row>
    <row r="215" spans="1:18" x14ac:dyDescent="0.35">
      <c r="A215" s="1">
        <v>45729</v>
      </c>
      <c r="B215" s="1" t="str">
        <f t="shared" si="12"/>
        <v>Thursday</v>
      </c>
      <c r="C215" s="1" t="str">
        <f t="shared" si="13"/>
        <v>March</v>
      </c>
      <c r="D215" s="1" t="str">
        <f t="shared" si="14"/>
        <v>Q1</v>
      </c>
      <c r="E215" s="1" t="str">
        <f t="shared" si="15"/>
        <v>2025</v>
      </c>
      <c r="F215" t="s">
        <v>13</v>
      </c>
      <c r="G215" s="2">
        <v>950</v>
      </c>
      <c r="H215" s="2">
        <v>955</v>
      </c>
      <c r="I215" s="2">
        <v>940.15</v>
      </c>
      <c r="J215" s="2">
        <v>945.45</v>
      </c>
      <c r="K215" s="2">
        <v>945</v>
      </c>
      <c r="L215" s="2">
        <v>946.1</v>
      </c>
      <c r="M215" s="2">
        <v>948.5</v>
      </c>
      <c r="N215" s="2">
        <v>1269</v>
      </c>
      <c r="O215" s="2">
        <v>882.9</v>
      </c>
      <c r="P215" s="2">
        <v>907521</v>
      </c>
      <c r="Q215" s="2">
        <v>36330</v>
      </c>
      <c r="R215" s="2">
        <f>Table1[[#This Row],[HIGH]]-Table1[[#This Row],[LOW]]</f>
        <v>14.850000000000023</v>
      </c>
    </row>
    <row r="216" spans="1:18" x14ac:dyDescent="0.35">
      <c r="A216" s="1">
        <v>45728</v>
      </c>
      <c r="B216" s="1" t="str">
        <f t="shared" si="12"/>
        <v>Wednesday</v>
      </c>
      <c r="C216" s="1" t="str">
        <f t="shared" si="13"/>
        <v>March</v>
      </c>
      <c r="D216" s="1" t="str">
        <f t="shared" si="14"/>
        <v>Q1</v>
      </c>
      <c r="E216" s="1" t="str">
        <f t="shared" si="15"/>
        <v>2025</v>
      </c>
      <c r="F216" t="s">
        <v>13</v>
      </c>
      <c r="G216" s="2">
        <v>951.65</v>
      </c>
      <c r="H216" s="2">
        <v>961.75</v>
      </c>
      <c r="I216" s="2">
        <v>943.35</v>
      </c>
      <c r="J216" s="2">
        <v>959.85</v>
      </c>
      <c r="K216" s="2">
        <v>945.15</v>
      </c>
      <c r="L216" s="2">
        <v>945.45</v>
      </c>
      <c r="M216" s="2">
        <v>948.05</v>
      </c>
      <c r="N216" s="2">
        <v>1269</v>
      </c>
      <c r="O216" s="2">
        <v>882.9</v>
      </c>
      <c r="P216" s="2">
        <v>1619168</v>
      </c>
      <c r="Q216" s="2">
        <v>36847</v>
      </c>
      <c r="R216" s="2">
        <f>Table1[[#This Row],[HIGH]]-Table1[[#This Row],[LOW]]</f>
        <v>18.399999999999977</v>
      </c>
    </row>
    <row r="217" spans="1:18" x14ac:dyDescent="0.35">
      <c r="A217" s="1">
        <v>45727</v>
      </c>
      <c r="B217" s="1" t="str">
        <f t="shared" si="12"/>
        <v>Tuesday</v>
      </c>
      <c r="C217" s="1" t="str">
        <f t="shared" si="13"/>
        <v>March</v>
      </c>
      <c r="D217" s="1" t="str">
        <f t="shared" si="14"/>
        <v>Q1</v>
      </c>
      <c r="E217" s="1" t="str">
        <f t="shared" si="15"/>
        <v>2025</v>
      </c>
      <c r="F217" t="s">
        <v>13</v>
      </c>
      <c r="G217" s="2">
        <v>956</v>
      </c>
      <c r="H217" s="2">
        <v>962.4</v>
      </c>
      <c r="I217" s="2">
        <v>930.1</v>
      </c>
      <c r="J217" s="2">
        <v>957.3</v>
      </c>
      <c r="K217" s="2">
        <v>960</v>
      </c>
      <c r="L217" s="2">
        <v>959.85</v>
      </c>
      <c r="M217" s="2">
        <v>952.96</v>
      </c>
      <c r="N217" s="2">
        <v>1269</v>
      </c>
      <c r="O217" s="2">
        <v>882.9</v>
      </c>
      <c r="P217" s="2">
        <v>2748541</v>
      </c>
      <c r="Q217" s="2">
        <v>42453</v>
      </c>
      <c r="R217" s="2">
        <f>Table1[[#This Row],[HIGH]]-Table1[[#This Row],[LOW]]</f>
        <v>32.299999999999955</v>
      </c>
    </row>
    <row r="218" spans="1:18" x14ac:dyDescent="0.35">
      <c r="A218" s="1">
        <v>45726</v>
      </c>
      <c r="B218" s="1" t="str">
        <f t="shared" si="12"/>
        <v>Monday</v>
      </c>
      <c r="C218" s="1" t="str">
        <f t="shared" si="13"/>
        <v>March</v>
      </c>
      <c r="D218" s="1" t="str">
        <f t="shared" si="14"/>
        <v>Q1</v>
      </c>
      <c r="E218" s="1" t="str">
        <f t="shared" si="15"/>
        <v>2025</v>
      </c>
      <c r="F218" t="s">
        <v>13</v>
      </c>
      <c r="G218" s="2">
        <v>960</v>
      </c>
      <c r="H218" s="2">
        <v>969.3</v>
      </c>
      <c r="I218" s="2">
        <v>953</v>
      </c>
      <c r="J218" s="2">
        <v>962.05</v>
      </c>
      <c r="K218" s="2">
        <v>956</v>
      </c>
      <c r="L218" s="2">
        <v>957.3</v>
      </c>
      <c r="M218" s="2">
        <v>962.42</v>
      </c>
      <c r="N218" s="2">
        <v>1269</v>
      </c>
      <c r="O218" s="2">
        <v>882.9</v>
      </c>
      <c r="P218" s="2">
        <v>1660207</v>
      </c>
      <c r="Q218" s="2">
        <v>41166</v>
      </c>
      <c r="R218" s="2">
        <f>Table1[[#This Row],[HIGH]]-Table1[[#This Row],[LOW]]</f>
        <v>16.299999999999955</v>
      </c>
    </row>
    <row r="219" spans="1:18" x14ac:dyDescent="0.35">
      <c r="A219" s="1">
        <v>45723</v>
      </c>
      <c r="B219" s="1" t="str">
        <f t="shared" si="12"/>
        <v>Friday</v>
      </c>
      <c r="C219" s="1" t="str">
        <f t="shared" si="13"/>
        <v>March</v>
      </c>
      <c r="D219" s="1" t="str">
        <f t="shared" si="14"/>
        <v>Q1</v>
      </c>
      <c r="E219" s="1" t="str">
        <f t="shared" si="15"/>
        <v>2025</v>
      </c>
      <c r="F219" t="s">
        <v>13</v>
      </c>
      <c r="G219" s="2">
        <v>957</v>
      </c>
      <c r="H219" s="2">
        <v>967.4</v>
      </c>
      <c r="I219" s="2">
        <v>950.15</v>
      </c>
      <c r="J219" s="2">
        <v>958.15</v>
      </c>
      <c r="K219" s="2">
        <v>963.9</v>
      </c>
      <c r="L219" s="2">
        <v>962.05</v>
      </c>
      <c r="M219" s="2">
        <v>961.58</v>
      </c>
      <c r="N219" s="2">
        <v>1269</v>
      </c>
      <c r="O219" s="2">
        <v>882.9</v>
      </c>
      <c r="P219" s="2">
        <v>945675</v>
      </c>
      <c r="Q219" s="2">
        <v>31824</v>
      </c>
      <c r="R219" s="2">
        <f>Table1[[#This Row],[HIGH]]-Table1[[#This Row],[LOW]]</f>
        <v>17.25</v>
      </c>
    </row>
    <row r="220" spans="1:18" x14ac:dyDescent="0.35">
      <c r="A220" s="1">
        <v>45722</v>
      </c>
      <c r="B220" s="1" t="str">
        <f t="shared" si="12"/>
        <v>Thursday</v>
      </c>
      <c r="C220" s="1" t="str">
        <f t="shared" si="13"/>
        <v>March</v>
      </c>
      <c r="D220" s="1" t="str">
        <f t="shared" si="14"/>
        <v>Q1</v>
      </c>
      <c r="E220" s="1" t="str">
        <f t="shared" si="15"/>
        <v>2025</v>
      </c>
      <c r="F220" t="s">
        <v>13</v>
      </c>
      <c r="G220" s="2">
        <v>964</v>
      </c>
      <c r="H220" s="2">
        <v>965</v>
      </c>
      <c r="I220" s="2">
        <v>943.05</v>
      </c>
      <c r="J220" s="2">
        <v>956.8</v>
      </c>
      <c r="K220" s="2">
        <v>953.95</v>
      </c>
      <c r="L220" s="2">
        <v>958.15</v>
      </c>
      <c r="M220" s="2">
        <v>953.75</v>
      </c>
      <c r="N220" s="2">
        <v>1269</v>
      </c>
      <c r="O220" s="2">
        <v>882.9</v>
      </c>
      <c r="P220" s="2">
        <v>2421530</v>
      </c>
      <c r="Q220" s="2">
        <v>90307</v>
      </c>
      <c r="R220" s="2">
        <f>Table1[[#This Row],[HIGH]]-Table1[[#This Row],[LOW]]</f>
        <v>21.950000000000045</v>
      </c>
    </row>
    <row r="221" spans="1:18" x14ac:dyDescent="0.35">
      <c r="A221" s="1">
        <v>45721</v>
      </c>
      <c r="B221" s="1" t="str">
        <f t="shared" si="12"/>
        <v>Wednesday</v>
      </c>
      <c r="C221" s="1" t="str">
        <f t="shared" si="13"/>
        <v>March</v>
      </c>
      <c r="D221" s="1" t="str">
        <f t="shared" si="14"/>
        <v>Q1</v>
      </c>
      <c r="E221" s="1" t="str">
        <f t="shared" si="15"/>
        <v>2025</v>
      </c>
      <c r="F221" t="s">
        <v>13</v>
      </c>
      <c r="G221" s="2">
        <v>948.5</v>
      </c>
      <c r="H221" s="2">
        <v>965.95</v>
      </c>
      <c r="I221" s="2">
        <v>948</v>
      </c>
      <c r="J221" s="2">
        <v>954.55</v>
      </c>
      <c r="K221" s="2">
        <v>959.25</v>
      </c>
      <c r="L221" s="2">
        <v>956.8</v>
      </c>
      <c r="M221" s="2">
        <v>959.74</v>
      </c>
      <c r="N221" s="2">
        <v>1269</v>
      </c>
      <c r="O221" s="2">
        <v>882.9</v>
      </c>
      <c r="P221" s="2">
        <v>2773457</v>
      </c>
      <c r="Q221" s="2">
        <v>56393</v>
      </c>
      <c r="R221" s="2">
        <f>Table1[[#This Row],[HIGH]]-Table1[[#This Row],[LOW]]</f>
        <v>17.950000000000045</v>
      </c>
    </row>
    <row r="222" spans="1:18" x14ac:dyDescent="0.35">
      <c r="A222" s="1">
        <v>45720</v>
      </c>
      <c r="B222" s="1" t="str">
        <f t="shared" si="12"/>
        <v>Tuesday</v>
      </c>
      <c r="C222" s="1" t="str">
        <f t="shared" si="13"/>
        <v>March</v>
      </c>
      <c r="D222" s="1" t="str">
        <f t="shared" si="14"/>
        <v>Q1</v>
      </c>
      <c r="E222" s="1" t="str">
        <f t="shared" si="15"/>
        <v>2025</v>
      </c>
      <c r="F222" t="s">
        <v>13</v>
      </c>
      <c r="G222" s="2">
        <v>945.1</v>
      </c>
      <c r="H222" s="2">
        <v>957.85</v>
      </c>
      <c r="I222" s="2">
        <v>943.15</v>
      </c>
      <c r="J222" s="2">
        <v>953.9</v>
      </c>
      <c r="K222" s="2">
        <v>953.1</v>
      </c>
      <c r="L222" s="2">
        <v>954.55</v>
      </c>
      <c r="M222" s="2">
        <v>952.54</v>
      </c>
      <c r="N222" s="2">
        <v>1269</v>
      </c>
      <c r="O222" s="2">
        <v>882.9</v>
      </c>
      <c r="P222" s="2">
        <v>1916433</v>
      </c>
      <c r="Q222" s="2">
        <v>48825</v>
      </c>
      <c r="R222" s="2">
        <f>Table1[[#This Row],[HIGH]]-Table1[[#This Row],[LOW]]</f>
        <v>14.700000000000045</v>
      </c>
    </row>
    <row r="223" spans="1:18" x14ac:dyDescent="0.35">
      <c r="A223" s="1">
        <v>45719</v>
      </c>
      <c r="B223" s="1" t="str">
        <f t="shared" si="12"/>
        <v>Monday</v>
      </c>
      <c r="C223" s="1" t="str">
        <f t="shared" si="13"/>
        <v>March</v>
      </c>
      <c r="D223" s="1" t="str">
        <f t="shared" si="14"/>
        <v>Q1</v>
      </c>
      <c r="E223" s="1" t="str">
        <f t="shared" si="15"/>
        <v>2025</v>
      </c>
      <c r="F223" t="s">
        <v>13</v>
      </c>
      <c r="G223" s="2">
        <v>963.7</v>
      </c>
      <c r="H223" s="2">
        <v>970</v>
      </c>
      <c r="I223" s="2">
        <v>948.4</v>
      </c>
      <c r="J223" s="2">
        <v>963.7</v>
      </c>
      <c r="K223" s="2">
        <v>954.25</v>
      </c>
      <c r="L223" s="2">
        <v>953.9</v>
      </c>
      <c r="M223" s="2">
        <v>955.95</v>
      </c>
      <c r="N223" s="2">
        <v>1269</v>
      </c>
      <c r="O223" s="2">
        <v>882.9</v>
      </c>
      <c r="P223" s="2">
        <v>1323481</v>
      </c>
      <c r="Q223" s="2">
        <v>69044</v>
      </c>
      <c r="R223" s="2">
        <f>Table1[[#This Row],[HIGH]]-Table1[[#This Row],[LOW]]</f>
        <v>21.600000000000023</v>
      </c>
    </row>
    <row r="224" spans="1:18" x14ac:dyDescent="0.35">
      <c r="A224" s="1">
        <v>45716</v>
      </c>
      <c r="B224" s="1" t="str">
        <f t="shared" si="12"/>
        <v>Friday</v>
      </c>
      <c r="C224" s="1" t="str">
        <f t="shared" si="13"/>
        <v>February</v>
      </c>
      <c r="D224" s="1" t="str">
        <f t="shared" si="14"/>
        <v>Q1</v>
      </c>
      <c r="E224" s="1" t="str">
        <f t="shared" si="15"/>
        <v>2025</v>
      </c>
      <c r="F224" t="s">
        <v>13</v>
      </c>
      <c r="G224" s="2">
        <v>995</v>
      </c>
      <c r="H224" s="2">
        <v>1001.5</v>
      </c>
      <c r="I224" s="2">
        <v>957.35</v>
      </c>
      <c r="J224" s="2">
        <v>1008</v>
      </c>
      <c r="K224" s="2">
        <v>966.3</v>
      </c>
      <c r="L224" s="2">
        <v>963.7</v>
      </c>
      <c r="M224" s="2">
        <v>969.01</v>
      </c>
      <c r="N224" s="2">
        <v>1269</v>
      </c>
      <c r="O224" s="2">
        <v>882.9</v>
      </c>
      <c r="P224" s="2">
        <v>5082193</v>
      </c>
      <c r="Q224" s="2">
        <v>90874</v>
      </c>
      <c r="R224" s="2">
        <f>Table1[[#This Row],[HIGH]]-Table1[[#This Row],[LOW]]</f>
        <v>44.149999999999977</v>
      </c>
    </row>
    <row r="225" spans="1:18" x14ac:dyDescent="0.35">
      <c r="A225" s="1">
        <v>45715</v>
      </c>
      <c r="B225" s="1" t="str">
        <f t="shared" si="12"/>
        <v>Thursday</v>
      </c>
      <c r="C225" s="1" t="str">
        <f t="shared" si="13"/>
        <v>February</v>
      </c>
      <c r="D225" s="1" t="str">
        <f t="shared" si="14"/>
        <v>Q1</v>
      </c>
      <c r="E225" s="1" t="str">
        <f t="shared" si="15"/>
        <v>2025</v>
      </c>
      <c r="F225" t="s">
        <v>13</v>
      </c>
      <c r="G225" s="2">
        <v>1005</v>
      </c>
      <c r="H225" s="2">
        <v>1010.15</v>
      </c>
      <c r="I225" s="2">
        <v>998.25</v>
      </c>
      <c r="J225" s="2">
        <v>1004.85</v>
      </c>
      <c r="K225" s="2">
        <v>1008</v>
      </c>
      <c r="L225" s="2">
        <v>1008</v>
      </c>
      <c r="M225" s="2">
        <v>1005.59</v>
      </c>
      <c r="N225" s="2">
        <v>1269</v>
      </c>
      <c r="O225" s="2">
        <v>882.9</v>
      </c>
      <c r="P225" s="2">
        <v>1362115</v>
      </c>
      <c r="Q225" s="2">
        <v>58083</v>
      </c>
      <c r="R225" s="2">
        <f>Table1[[#This Row],[HIGH]]-Table1[[#This Row],[LOW]]</f>
        <v>11.899999999999977</v>
      </c>
    </row>
    <row r="226" spans="1:18" x14ac:dyDescent="0.35">
      <c r="A226" s="1">
        <v>45713</v>
      </c>
      <c r="B226" s="1" t="str">
        <f t="shared" si="12"/>
        <v>Tuesday</v>
      </c>
      <c r="C226" s="1" t="str">
        <f t="shared" si="13"/>
        <v>February</v>
      </c>
      <c r="D226" s="1" t="str">
        <f t="shared" si="14"/>
        <v>Q1</v>
      </c>
      <c r="E226" s="1" t="str">
        <f t="shared" si="15"/>
        <v>2025</v>
      </c>
      <c r="F226" t="s">
        <v>13</v>
      </c>
      <c r="G226" s="2">
        <v>994</v>
      </c>
      <c r="H226" s="2">
        <v>1010</v>
      </c>
      <c r="I226" s="2">
        <v>993.15</v>
      </c>
      <c r="J226" s="2">
        <v>1002.4</v>
      </c>
      <c r="K226" s="2">
        <v>1004.95</v>
      </c>
      <c r="L226" s="2">
        <v>1004.85</v>
      </c>
      <c r="M226" s="2">
        <v>1005.8</v>
      </c>
      <c r="N226" s="2">
        <v>1269</v>
      </c>
      <c r="O226" s="2">
        <v>882.9</v>
      </c>
      <c r="P226" s="2">
        <v>1663313</v>
      </c>
      <c r="Q226" s="2">
        <v>41567</v>
      </c>
      <c r="R226" s="2">
        <f>Table1[[#This Row],[HIGH]]-Table1[[#This Row],[LOW]]</f>
        <v>16.850000000000023</v>
      </c>
    </row>
    <row r="227" spans="1:18" x14ac:dyDescent="0.35">
      <c r="A227" s="1">
        <v>45712</v>
      </c>
      <c r="B227" s="1" t="str">
        <f t="shared" si="12"/>
        <v>Monday</v>
      </c>
      <c r="C227" s="1" t="str">
        <f t="shared" si="13"/>
        <v>February</v>
      </c>
      <c r="D227" s="1" t="str">
        <f t="shared" si="14"/>
        <v>Q1</v>
      </c>
      <c r="E227" s="1" t="str">
        <f t="shared" si="15"/>
        <v>2025</v>
      </c>
      <c r="F227" t="s">
        <v>13</v>
      </c>
      <c r="G227" s="2">
        <v>990</v>
      </c>
      <c r="H227" s="2">
        <v>1011.1</v>
      </c>
      <c r="I227" s="2">
        <v>990</v>
      </c>
      <c r="J227" s="2">
        <v>1004</v>
      </c>
      <c r="K227" s="2">
        <v>1002</v>
      </c>
      <c r="L227" s="2">
        <v>1002.4</v>
      </c>
      <c r="M227" s="2">
        <v>1006.24</v>
      </c>
      <c r="N227" s="2">
        <v>1269</v>
      </c>
      <c r="O227" s="2">
        <v>882.9</v>
      </c>
      <c r="P227" s="2">
        <v>1002365</v>
      </c>
      <c r="Q227" s="2">
        <v>49909</v>
      </c>
      <c r="R227" s="2">
        <f>Table1[[#This Row],[HIGH]]-Table1[[#This Row],[LOW]]</f>
        <v>21.100000000000023</v>
      </c>
    </row>
    <row r="228" spans="1:18" x14ac:dyDescent="0.35">
      <c r="A228" s="1">
        <v>45709</v>
      </c>
      <c r="B228" s="1" t="str">
        <f t="shared" si="12"/>
        <v>Friday</v>
      </c>
      <c r="C228" s="1" t="str">
        <f t="shared" si="13"/>
        <v>February</v>
      </c>
      <c r="D228" s="1" t="str">
        <f t="shared" si="14"/>
        <v>Q1</v>
      </c>
      <c r="E228" s="1" t="str">
        <f t="shared" si="15"/>
        <v>2025</v>
      </c>
      <c r="F228" t="s">
        <v>13</v>
      </c>
      <c r="G228" s="2">
        <v>1008</v>
      </c>
      <c r="H228" s="2">
        <v>1013.65</v>
      </c>
      <c r="I228" s="2">
        <v>991.45</v>
      </c>
      <c r="J228" s="2">
        <v>1008.9</v>
      </c>
      <c r="K228" s="2">
        <v>1002.5</v>
      </c>
      <c r="L228" s="2">
        <v>1004</v>
      </c>
      <c r="M228" s="2">
        <v>1003.41</v>
      </c>
      <c r="N228" s="2">
        <v>1269</v>
      </c>
      <c r="O228" s="2">
        <v>882.9</v>
      </c>
      <c r="P228" s="2">
        <v>1330146</v>
      </c>
      <c r="Q228" s="2">
        <v>45894</v>
      </c>
      <c r="R228" s="2">
        <f>Table1[[#This Row],[HIGH]]-Table1[[#This Row],[LOW]]</f>
        <v>22.199999999999932</v>
      </c>
    </row>
    <row r="229" spans="1:18" x14ac:dyDescent="0.35">
      <c r="A229" s="1">
        <v>45708</v>
      </c>
      <c r="B229" s="1" t="str">
        <f t="shared" si="12"/>
        <v>Thursday</v>
      </c>
      <c r="C229" s="1" t="str">
        <f t="shared" si="13"/>
        <v>February</v>
      </c>
      <c r="D229" s="1" t="str">
        <f t="shared" si="14"/>
        <v>Q1</v>
      </c>
      <c r="E229" s="1" t="str">
        <f t="shared" si="15"/>
        <v>2025</v>
      </c>
      <c r="F229" t="s">
        <v>13</v>
      </c>
      <c r="G229" s="2">
        <v>1020</v>
      </c>
      <c r="H229" s="2">
        <v>1030.25</v>
      </c>
      <c r="I229" s="2">
        <v>1003.65</v>
      </c>
      <c r="J229" s="2">
        <v>1025.3</v>
      </c>
      <c r="K229" s="2">
        <v>1009</v>
      </c>
      <c r="L229" s="2">
        <v>1008.9</v>
      </c>
      <c r="M229" s="2">
        <v>1011.18</v>
      </c>
      <c r="N229" s="2">
        <v>1269</v>
      </c>
      <c r="O229" s="2">
        <v>882.9</v>
      </c>
      <c r="P229" s="2">
        <v>878748</v>
      </c>
      <c r="Q229" s="2">
        <v>60976</v>
      </c>
      <c r="R229" s="2">
        <f>Table1[[#This Row],[HIGH]]-Table1[[#This Row],[LOW]]</f>
        <v>26.600000000000023</v>
      </c>
    </row>
    <row r="230" spans="1:18" x14ac:dyDescent="0.35">
      <c r="A230" s="1">
        <v>45707</v>
      </c>
      <c r="B230" s="1" t="str">
        <f t="shared" si="12"/>
        <v>Wednesday</v>
      </c>
      <c r="C230" s="1" t="str">
        <f t="shared" si="13"/>
        <v>February</v>
      </c>
      <c r="D230" s="1" t="str">
        <f t="shared" si="14"/>
        <v>Q1</v>
      </c>
      <c r="E230" s="1" t="str">
        <f t="shared" si="15"/>
        <v>2025</v>
      </c>
      <c r="F230" t="s">
        <v>13</v>
      </c>
      <c r="G230" s="2">
        <v>1024</v>
      </c>
      <c r="H230" s="2">
        <v>1032.8499999999999</v>
      </c>
      <c r="I230" s="2">
        <v>1021.3</v>
      </c>
      <c r="J230" s="2">
        <v>1026.95</v>
      </c>
      <c r="K230" s="2">
        <v>1024.45</v>
      </c>
      <c r="L230" s="2">
        <v>1025.3</v>
      </c>
      <c r="M230" s="2">
        <v>1026.3499999999999</v>
      </c>
      <c r="N230" s="2">
        <v>1269</v>
      </c>
      <c r="O230" s="2">
        <v>882.9</v>
      </c>
      <c r="P230" s="2">
        <v>782204</v>
      </c>
      <c r="Q230" s="2">
        <v>51187</v>
      </c>
      <c r="R230" s="2">
        <f>Table1[[#This Row],[HIGH]]-Table1[[#This Row],[LOW]]</f>
        <v>11.549999999999955</v>
      </c>
    </row>
    <row r="231" spans="1:18" x14ac:dyDescent="0.35">
      <c r="A231" s="1">
        <v>45706</v>
      </c>
      <c r="B231" s="1" t="str">
        <f t="shared" si="12"/>
        <v>Tuesday</v>
      </c>
      <c r="C231" s="1" t="str">
        <f t="shared" si="13"/>
        <v>February</v>
      </c>
      <c r="D231" s="1" t="str">
        <f t="shared" si="14"/>
        <v>Q1</v>
      </c>
      <c r="E231" s="1" t="str">
        <f t="shared" si="15"/>
        <v>2025</v>
      </c>
      <c r="F231" t="s">
        <v>13</v>
      </c>
      <c r="G231" s="2">
        <v>1019.1</v>
      </c>
      <c r="H231" s="2">
        <v>1027.95</v>
      </c>
      <c r="I231" s="2">
        <v>1018.55</v>
      </c>
      <c r="J231" s="2">
        <v>1023.25</v>
      </c>
      <c r="K231" s="2">
        <v>1025.45</v>
      </c>
      <c r="L231" s="2">
        <v>1026.95</v>
      </c>
      <c r="M231" s="2">
        <v>1024.07</v>
      </c>
      <c r="N231" s="2">
        <v>1269</v>
      </c>
      <c r="O231" s="2">
        <v>882.9</v>
      </c>
      <c r="P231" s="2">
        <v>789814</v>
      </c>
      <c r="Q231" s="2">
        <v>37324</v>
      </c>
      <c r="R231" s="2">
        <f>Table1[[#This Row],[HIGH]]-Table1[[#This Row],[LOW]]</f>
        <v>9.4000000000000909</v>
      </c>
    </row>
    <row r="232" spans="1:18" x14ac:dyDescent="0.35">
      <c r="A232" s="1">
        <v>45705</v>
      </c>
      <c r="B232" s="1" t="str">
        <f t="shared" si="12"/>
        <v>Monday</v>
      </c>
      <c r="C232" s="1" t="str">
        <f t="shared" si="13"/>
        <v>February</v>
      </c>
      <c r="D232" s="1" t="str">
        <f t="shared" si="14"/>
        <v>Q1</v>
      </c>
      <c r="E232" s="1" t="str">
        <f t="shared" si="15"/>
        <v>2025</v>
      </c>
      <c r="F232" t="s">
        <v>13</v>
      </c>
      <c r="G232" s="2">
        <v>1022</v>
      </c>
      <c r="H232" s="2">
        <v>1027.45</v>
      </c>
      <c r="I232" s="2">
        <v>1005.05</v>
      </c>
      <c r="J232" s="2">
        <v>1022.55</v>
      </c>
      <c r="K232" s="2">
        <v>1021.7</v>
      </c>
      <c r="L232" s="2">
        <v>1023.25</v>
      </c>
      <c r="M232" s="2">
        <v>1017.33</v>
      </c>
      <c r="N232" s="2">
        <v>1269</v>
      </c>
      <c r="O232" s="2">
        <v>882.9</v>
      </c>
      <c r="P232" s="2">
        <v>925113</v>
      </c>
      <c r="Q232" s="2">
        <v>52337</v>
      </c>
      <c r="R232" s="2">
        <f>Table1[[#This Row],[HIGH]]-Table1[[#This Row],[LOW]]</f>
        <v>22.400000000000091</v>
      </c>
    </row>
    <row r="233" spans="1:18" x14ac:dyDescent="0.35">
      <c r="A233" s="1">
        <v>45702</v>
      </c>
      <c r="B233" s="1" t="str">
        <f t="shared" si="12"/>
        <v>Friday</v>
      </c>
      <c r="C233" s="1" t="str">
        <f t="shared" si="13"/>
        <v>February</v>
      </c>
      <c r="D233" s="1" t="str">
        <f t="shared" si="14"/>
        <v>Q1</v>
      </c>
      <c r="E233" s="1" t="str">
        <f t="shared" si="15"/>
        <v>2025</v>
      </c>
      <c r="F233" t="s">
        <v>13</v>
      </c>
      <c r="G233" s="2">
        <v>1027.9000000000001</v>
      </c>
      <c r="H233" s="2">
        <v>1037.8499999999999</v>
      </c>
      <c r="I233" s="2">
        <v>1018</v>
      </c>
      <c r="J233" s="2">
        <v>1022.8</v>
      </c>
      <c r="K233" s="2">
        <v>1019</v>
      </c>
      <c r="L233" s="2">
        <v>1022.55</v>
      </c>
      <c r="M233" s="2">
        <v>1025.42</v>
      </c>
      <c r="N233" s="2">
        <v>1269</v>
      </c>
      <c r="O233" s="2">
        <v>882.9</v>
      </c>
      <c r="P233" s="2">
        <v>2032391</v>
      </c>
      <c r="Q233" s="2">
        <v>63818</v>
      </c>
      <c r="R233" s="2">
        <f>Table1[[#This Row],[HIGH]]-Table1[[#This Row],[LOW]]</f>
        <v>19.849999999999909</v>
      </c>
    </row>
    <row r="234" spans="1:18" x14ac:dyDescent="0.35">
      <c r="A234" s="1">
        <v>45701</v>
      </c>
      <c r="B234" s="1" t="str">
        <f t="shared" si="12"/>
        <v>Thursday</v>
      </c>
      <c r="C234" s="1" t="str">
        <f t="shared" si="13"/>
        <v>February</v>
      </c>
      <c r="D234" s="1" t="str">
        <f t="shared" si="14"/>
        <v>Q1</v>
      </c>
      <c r="E234" s="1" t="str">
        <f t="shared" si="15"/>
        <v>2025</v>
      </c>
      <c r="F234" t="s">
        <v>13</v>
      </c>
      <c r="G234" s="2">
        <v>1029.75</v>
      </c>
      <c r="H234" s="2">
        <v>1037</v>
      </c>
      <c r="I234" s="2">
        <v>1016.85</v>
      </c>
      <c r="J234" s="2">
        <v>1029.75</v>
      </c>
      <c r="K234" s="2">
        <v>1019.9</v>
      </c>
      <c r="L234" s="2">
        <v>1022.8</v>
      </c>
      <c r="M234" s="2">
        <v>1028.43</v>
      </c>
      <c r="N234" s="2">
        <v>1269</v>
      </c>
      <c r="O234" s="2">
        <v>882.9</v>
      </c>
      <c r="P234" s="2">
        <v>1169309</v>
      </c>
      <c r="Q234" s="2">
        <v>54802</v>
      </c>
      <c r="R234" s="2">
        <f>Table1[[#This Row],[HIGH]]-Table1[[#This Row],[LOW]]</f>
        <v>20.149999999999977</v>
      </c>
    </row>
    <row r="235" spans="1:18" x14ac:dyDescent="0.35">
      <c r="A235" s="1">
        <v>45700</v>
      </c>
      <c r="B235" s="1" t="str">
        <f t="shared" si="12"/>
        <v>Wednesday</v>
      </c>
      <c r="C235" s="1" t="str">
        <f t="shared" si="13"/>
        <v>February</v>
      </c>
      <c r="D235" s="1" t="str">
        <f t="shared" si="14"/>
        <v>Q1</v>
      </c>
      <c r="E235" s="1" t="str">
        <f t="shared" si="15"/>
        <v>2025</v>
      </c>
      <c r="F235" t="s">
        <v>13</v>
      </c>
      <c r="G235" s="2">
        <v>1019</v>
      </c>
      <c r="H235" s="2">
        <v>1039</v>
      </c>
      <c r="I235" s="2">
        <v>1010.05</v>
      </c>
      <c r="J235" s="2">
        <v>1013.8</v>
      </c>
      <c r="K235" s="2">
        <v>1028</v>
      </c>
      <c r="L235" s="2">
        <v>1029.75</v>
      </c>
      <c r="M235" s="2">
        <v>1025.6400000000001</v>
      </c>
      <c r="N235" s="2">
        <v>1269</v>
      </c>
      <c r="O235" s="2">
        <v>882.9</v>
      </c>
      <c r="P235" s="2">
        <v>1082392</v>
      </c>
      <c r="Q235" s="2">
        <v>58643</v>
      </c>
      <c r="R235" s="2">
        <f>Table1[[#This Row],[HIGH]]-Table1[[#This Row],[LOW]]</f>
        <v>28.950000000000045</v>
      </c>
    </row>
    <row r="236" spans="1:18" x14ac:dyDescent="0.35">
      <c r="A236" s="1">
        <v>45699</v>
      </c>
      <c r="B236" s="1" t="str">
        <f t="shared" si="12"/>
        <v>Tuesday</v>
      </c>
      <c r="C236" s="1" t="str">
        <f t="shared" si="13"/>
        <v>February</v>
      </c>
      <c r="D236" s="1" t="str">
        <f t="shared" si="14"/>
        <v>Q1</v>
      </c>
      <c r="E236" s="1" t="str">
        <f t="shared" si="15"/>
        <v>2025</v>
      </c>
      <c r="F236" t="s">
        <v>13</v>
      </c>
      <c r="G236" s="2">
        <v>1029.9000000000001</v>
      </c>
      <c r="H236" s="2">
        <v>1035.45</v>
      </c>
      <c r="I236" s="2">
        <v>1009.1</v>
      </c>
      <c r="J236" s="2">
        <v>1027.5</v>
      </c>
      <c r="K236" s="2">
        <v>1014.7</v>
      </c>
      <c r="L236" s="2">
        <v>1013.8</v>
      </c>
      <c r="M236" s="2">
        <v>1023.85</v>
      </c>
      <c r="N236" s="2">
        <v>1269</v>
      </c>
      <c r="O236" s="2">
        <v>882.9</v>
      </c>
      <c r="P236" s="2">
        <v>1204012</v>
      </c>
      <c r="Q236" s="2">
        <v>56036</v>
      </c>
      <c r="R236" s="2">
        <f>Table1[[#This Row],[HIGH]]-Table1[[#This Row],[LOW]]</f>
        <v>26.350000000000023</v>
      </c>
    </row>
    <row r="237" spans="1:18" x14ac:dyDescent="0.35">
      <c r="A237" s="1">
        <v>45698</v>
      </c>
      <c r="B237" s="1" t="str">
        <f t="shared" si="12"/>
        <v>Monday</v>
      </c>
      <c r="C237" s="1" t="str">
        <f t="shared" si="13"/>
        <v>February</v>
      </c>
      <c r="D237" s="1" t="str">
        <f t="shared" si="14"/>
        <v>Q1</v>
      </c>
      <c r="E237" s="1" t="str">
        <f t="shared" si="15"/>
        <v>2025</v>
      </c>
      <c r="F237" t="s">
        <v>13</v>
      </c>
      <c r="G237" s="2">
        <v>1020</v>
      </c>
      <c r="H237" s="2">
        <v>1036.8499999999999</v>
      </c>
      <c r="I237" s="2">
        <v>1015.8</v>
      </c>
      <c r="J237" s="2">
        <v>1021.2</v>
      </c>
      <c r="K237" s="2">
        <v>1027</v>
      </c>
      <c r="L237" s="2">
        <v>1027.5</v>
      </c>
      <c r="M237" s="2">
        <v>1030.17</v>
      </c>
      <c r="N237" s="2">
        <v>1269</v>
      </c>
      <c r="O237" s="2">
        <v>882.9</v>
      </c>
      <c r="P237" s="2">
        <v>1418998</v>
      </c>
      <c r="Q237" s="2">
        <v>53557</v>
      </c>
      <c r="R237" s="2">
        <f>Table1[[#This Row],[HIGH]]-Table1[[#This Row],[LOW]]</f>
        <v>21.049999999999955</v>
      </c>
    </row>
    <row r="238" spans="1:18" x14ac:dyDescent="0.35">
      <c r="A238" s="1">
        <v>45695</v>
      </c>
      <c r="B238" s="1" t="str">
        <f t="shared" si="12"/>
        <v>Friday</v>
      </c>
      <c r="C238" s="1" t="str">
        <f t="shared" si="13"/>
        <v>February</v>
      </c>
      <c r="D238" s="1" t="str">
        <f t="shared" si="14"/>
        <v>Q1</v>
      </c>
      <c r="E238" s="1" t="str">
        <f t="shared" si="15"/>
        <v>2025</v>
      </c>
      <c r="F238" t="s">
        <v>13</v>
      </c>
      <c r="G238" s="2">
        <v>1031.9000000000001</v>
      </c>
      <c r="H238" s="2">
        <v>1031.9000000000001</v>
      </c>
      <c r="I238" s="2">
        <v>1012.55</v>
      </c>
      <c r="J238" s="2">
        <v>1023.35</v>
      </c>
      <c r="K238" s="2">
        <v>1020.7</v>
      </c>
      <c r="L238" s="2">
        <v>1021.2</v>
      </c>
      <c r="M238" s="2">
        <v>1019.48</v>
      </c>
      <c r="N238" s="2">
        <v>1269</v>
      </c>
      <c r="O238" s="2">
        <v>882.9</v>
      </c>
      <c r="P238" s="2">
        <v>941811</v>
      </c>
      <c r="Q238" s="2">
        <v>42902</v>
      </c>
      <c r="R238" s="2">
        <f>Table1[[#This Row],[HIGH]]-Table1[[#This Row],[LOW]]</f>
        <v>19.350000000000136</v>
      </c>
    </row>
    <row r="239" spans="1:18" x14ac:dyDescent="0.35">
      <c r="A239" s="1">
        <v>45694</v>
      </c>
      <c r="B239" s="1" t="str">
        <f t="shared" si="12"/>
        <v>Thursday</v>
      </c>
      <c r="C239" s="1" t="str">
        <f t="shared" si="13"/>
        <v>February</v>
      </c>
      <c r="D239" s="1" t="str">
        <f t="shared" si="14"/>
        <v>Q1</v>
      </c>
      <c r="E239" s="1" t="str">
        <f t="shared" si="15"/>
        <v>2025</v>
      </c>
      <c r="F239" t="s">
        <v>13</v>
      </c>
      <c r="G239" s="2">
        <v>1020.4</v>
      </c>
      <c r="H239" s="2">
        <v>1026.3</v>
      </c>
      <c r="I239" s="2">
        <v>1010.15</v>
      </c>
      <c r="J239" s="2">
        <v>1015.3</v>
      </c>
      <c r="K239" s="2">
        <v>1021.8</v>
      </c>
      <c r="L239" s="2">
        <v>1023.35</v>
      </c>
      <c r="M239" s="2">
        <v>1018.55</v>
      </c>
      <c r="N239" s="2">
        <v>1269</v>
      </c>
      <c r="O239" s="2">
        <v>882.9</v>
      </c>
      <c r="P239" s="2">
        <v>1172479</v>
      </c>
      <c r="Q239" s="2">
        <v>53420</v>
      </c>
      <c r="R239" s="2">
        <f>Table1[[#This Row],[HIGH]]-Table1[[#This Row],[LOW]]</f>
        <v>16.149999999999977</v>
      </c>
    </row>
    <row r="240" spans="1:18" x14ac:dyDescent="0.35">
      <c r="A240" s="1">
        <v>45693</v>
      </c>
      <c r="B240" s="1" t="str">
        <f t="shared" si="12"/>
        <v>Wednesday</v>
      </c>
      <c r="C240" s="1" t="str">
        <f t="shared" si="13"/>
        <v>February</v>
      </c>
      <c r="D240" s="1" t="str">
        <f t="shared" si="14"/>
        <v>Q1</v>
      </c>
      <c r="E240" s="1" t="str">
        <f t="shared" si="15"/>
        <v>2025</v>
      </c>
      <c r="F240" t="s">
        <v>13</v>
      </c>
      <c r="G240" s="2">
        <v>1035.0999999999999</v>
      </c>
      <c r="H240" s="2">
        <v>1035.25</v>
      </c>
      <c r="I240" s="2">
        <v>1010.55</v>
      </c>
      <c r="J240" s="2">
        <v>1034.2</v>
      </c>
      <c r="K240" s="2">
        <v>1014.95</v>
      </c>
      <c r="L240" s="2">
        <v>1015.3</v>
      </c>
      <c r="M240" s="2">
        <v>1019.57</v>
      </c>
      <c r="N240" s="2">
        <v>1269</v>
      </c>
      <c r="O240" s="2">
        <v>882.9</v>
      </c>
      <c r="P240" s="2">
        <v>1628436</v>
      </c>
      <c r="Q240" s="2">
        <v>64271</v>
      </c>
      <c r="R240" s="2">
        <f>Table1[[#This Row],[HIGH]]-Table1[[#This Row],[LOW]]</f>
        <v>24.700000000000045</v>
      </c>
    </row>
    <row r="241" spans="1:18" x14ac:dyDescent="0.35">
      <c r="A241" s="1">
        <v>45692</v>
      </c>
      <c r="B241" s="1" t="str">
        <f t="shared" si="12"/>
        <v>Tuesday</v>
      </c>
      <c r="C241" s="1" t="str">
        <f t="shared" si="13"/>
        <v>February</v>
      </c>
      <c r="D241" s="1" t="str">
        <f t="shared" si="14"/>
        <v>Q1</v>
      </c>
      <c r="E241" s="1" t="str">
        <f t="shared" si="15"/>
        <v>2025</v>
      </c>
      <c r="F241" t="s">
        <v>13</v>
      </c>
      <c r="G241" s="2">
        <v>1040</v>
      </c>
      <c r="H241" s="2">
        <v>1043.8</v>
      </c>
      <c r="I241" s="2">
        <v>1019.05</v>
      </c>
      <c r="J241" s="2">
        <v>1036.3</v>
      </c>
      <c r="K241" s="2">
        <v>1032.6500000000001</v>
      </c>
      <c r="L241" s="2">
        <v>1034.2</v>
      </c>
      <c r="M241" s="2">
        <v>1029.78</v>
      </c>
      <c r="N241" s="2">
        <v>1269</v>
      </c>
      <c r="O241" s="2">
        <v>882.9</v>
      </c>
      <c r="P241" s="2">
        <v>2251233</v>
      </c>
      <c r="Q241" s="2">
        <v>78783</v>
      </c>
      <c r="R241" s="2">
        <f>Table1[[#This Row],[HIGH]]-Table1[[#This Row],[LOW]]</f>
        <v>24.75</v>
      </c>
    </row>
    <row r="242" spans="1:18" x14ac:dyDescent="0.35">
      <c r="A242" s="1">
        <v>45691</v>
      </c>
      <c r="B242" s="1" t="str">
        <f t="shared" si="12"/>
        <v>Monday</v>
      </c>
      <c r="C242" s="1" t="str">
        <f t="shared" si="13"/>
        <v>February</v>
      </c>
      <c r="D242" s="1" t="str">
        <f t="shared" si="14"/>
        <v>Q1</v>
      </c>
      <c r="E242" s="1" t="str">
        <f t="shared" si="15"/>
        <v>2025</v>
      </c>
      <c r="F242" t="s">
        <v>13</v>
      </c>
      <c r="G242" s="2">
        <v>1067.3499999999999</v>
      </c>
      <c r="H242" s="2">
        <v>1074.45</v>
      </c>
      <c r="I242" s="2">
        <v>1033.6500000000001</v>
      </c>
      <c r="J242" s="2">
        <v>1069.8499999999999</v>
      </c>
      <c r="K242" s="2">
        <v>1037</v>
      </c>
      <c r="L242" s="2">
        <v>1036.3</v>
      </c>
      <c r="M242" s="2">
        <v>1049.17</v>
      </c>
      <c r="N242" s="2">
        <v>1269</v>
      </c>
      <c r="O242" s="2">
        <v>882.9</v>
      </c>
      <c r="P242" s="2">
        <v>1298543</v>
      </c>
      <c r="Q242" s="2">
        <v>88129</v>
      </c>
      <c r="R242" s="2">
        <f>Table1[[#This Row],[HIGH]]-Table1[[#This Row],[LOW]]</f>
        <v>40.799999999999955</v>
      </c>
    </row>
    <row r="243" spans="1:18" x14ac:dyDescent="0.35">
      <c r="A243" s="1">
        <v>45688</v>
      </c>
      <c r="B243" s="1" t="str">
        <f t="shared" si="12"/>
        <v>Friday</v>
      </c>
      <c r="C243" s="1" t="str">
        <f t="shared" si="13"/>
        <v>January</v>
      </c>
      <c r="D243" s="1" t="str">
        <f t="shared" si="14"/>
        <v>Q1</v>
      </c>
      <c r="E243" s="1" t="str">
        <f t="shared" si="15"/>
        <v>2025</v>
      </c>
      <c r="F243" t="s">
        <v>13</v>
      </c>
      <c r="G243" s="2">
        <v>970</v>
      </c>
      <c r="H243" s="2">
        <v>1031.2</v>
      </c>
      <c r="I243" s="2">
        <v>967.9</v>
      </c>
      <c r="J243" s="2">
        <v>966.7</v>
      </c>
      <c r="K243" s="2">
        <v>1027</v>
      </c>
      <c r="L243" s="2">
        <v>1024.6500000000001</v>
      </c>
      <c r="M243" s="2">
        <v>1012.45</v>
      </c>
      <c r="N243" s="2">
        <v>1269</v>
      </c>
      <c r="O243" s="2">
        <v>882.9</v>
      </c>
      <c r="P243" s="2">
        <v>5028986</v>
      </c>
      <c r="Q243" s="2">
        <v>154487</v>
      </c>
      <c r="R243" s="2">
        <f>Table1[[#This Row],[HIGH]]-Table1[[#This Row],[LOW]]</f>
        <v>63.300000000000068</v>
      </c>
    </row>
    <row r="244" spans="1:18" x14ac:dyDescent="0.35">
      <c r="A244" s="1">
        <v>45687</v>
      </c>
      <c r="B244" s="1" t="str">
        <f t="shared" si="12"/>
        <v>Thursday</v>
      </c>
      <c r="C244" s="1" t="str">
        <f t="shared" si="13"/>
        <v>January</v>
      </c>
      <c r="D244" s="1" t="str">
        <f t="shared" si="14"/>
        <v>Q1</v>
      </c>
      <c r="E244" s="1" t="str">
        <f t="shared" si="15"/>
        <v>2025</v>
      </c>
      <c r="F244" t="s">
        <v>13</v>
      </c>
      <c r="G244" s="2">
        <v>965.95</v>
      </c>
      <c r="H244" s="2">
        <v>975</v>
      </c>
      <c r="I244" s="2">
        <v>953</v>
      </c>
      <c r="J244" s="2">
        <v>960.5</v>
      </c>
      <c r="K244" s="2">
        <v>970</v>
      </c>
      <c r="L244" s="2">
        <v>966.7</v>
      </c>
      <c r="M244" s="2">
        <v>966.25</v>
      </c>
      <c r="N244" s="2">
        <v>1269</v>
      </c>
      <c r="O244" s="2">
        <v>882.9</v>
      </c>
      <c r="P244" s="2">
        <v>1706978</v>
      </c>
      <c r="Q244" s="2">
        <v>81115</v>
      </c>
      <c r="R244" s="2">
        <f>Table1[[#This Row],[HIGH]]-Table1[[#This Row],[LOW]]</f>
        <v>22</v>
      </c>
    </row>
    <row r="245" spans="1:18" x14ac:dyDescent="0.35">
      <c r="A245" s="1">
        <v>45686</v>
      </c>
      <c r="B245" s="1" t="str">
        <f t="shared" si="12"/>
        <v>Wednesday</v>
      </c>
      <c r="C245" s="1" t="str">
        <f t="shared" si="13"/>
        <v>January</v>
      </c>
      <c r="D245" s="1" t="str">
        <f t="shared" si="14"/>
        <v>Q1</v>
      </c>
      <c r="E245" s="1" t="str">
        <f t="shared" si="15"/>
        <v>2025</v>
      </c>
      <c r="F245" t="s">
        <v>13</v>
      </c>
      <c r="G245" s="2">
        <v>961.25</v>
      </c>
      <c r="H245" s="2">
        <v>966.65</v>
      </c>
      <c r="I245" s="2">
        <v>938</v>
      </c>
      <c r="J245" s="2">
        <v>961.25</v>
      </c>
      <c r="K245" s="2">
        <v>957.4</v>
      </c>
      <c r="L245" s="2">
        <v>960.5</v>
      </c>
      <c r="M245" s="2">
        <v>952.47</v>
      </c>
      <c r="N245" s="2">
        <v>1269</v>
      </c>
      <c r="O245" s="2">
        <v>882.9</v>
      </c>
      <c r="P245" s="2">
        <v>1479070</v>
      </c>
      <c r="Q245" s="2">
        <v>62420</v>
      </c>
      <c r="R245" s="2">
        <f>Table1[[#This Row],[HIGH]]-Table1[[#This Row],[LOW]]</f>
        <v>28.649999999999977</v>
      </c>
    </row>
    <row r="246" spans="1:18" x14ac:dyDescent="0.35">
      <c r="A246" s="1">
        <v>45685</v>
      </c>
      <c r="B246" s="1" t="str">
        <f t="shared" si="12"/>
        <v>Tuesday</v>
      </c>
      <c r="C246" s="1" t="str">
        <f t="shared" si="13"/>
        <v>January</v>
      </c>
      <c r="D246" s="1" t="str">
        <f t="shared" si="14"/>
        <v>Q1</v>
      </c>
      <c r="E246" s="1" t="str">
        <f t="shared" si="15"/>
        <v>2025</v>
      </c>
      <c r="F246" t="s">
        <v>13</v>
      </c>
      <c r="G246" s="2">
        <v>970.95</v>
      </c>
      <c r="H246" s="2">
        <v>979.25</v>
      </c>
      <c r="I246" s="2">
        <v>958</v>
      </c>
      <c r="J246" s="2">
        <v>965.8</v>
      </c>
      <c r="K246" s="2">
        <v>960.75</v>
      </c>
      <c r="L246" s="2">
        <v>961.25</v>
      </c>
      <c r="M246" s="2">
        <v>969.15</v>
      </c>
      <c r="N246" s="2">
        <v>1269</v>
      </c>
      <c r="O246" s="2">
        <v>882.9</v>
      </c>
      <c r="P246" s="2">
        <v>1647098</v>
      </c>
      <c r="Q246" s="2">
        <v>64644</v>
      </c>
      <c r="R246" s="2">
        <f>Table1[[#This Row],[HIGH]]-Table1[[#This Row],[LOW]]</f>
        <v>21.25</v>
      </c>
    </row>
    <row r="247" spans="1:18" x14ac:dyDescent="0.35">
      <c r="A247" s="1">
        <v>45684</v>
      </c>
      <c r="B247" s="1" t="str">
        <f t="shared" si="12"/>
        <v>Monday</v>
      </c>
      <c r="C247" s="1" t="str">
        <f t="shared" si="13"/>
        <v>January</v>
      </c>
      <c r="D247" s="1" t="str">
        <f t="shared" si="14"/>
        <v>Q1</v>
      </c>
      <c r="E247" s="1" t="str">
        <f t="shared" si="15"/>
        <v>2025</v>
      </c>
      <c r="F247" t="s">
        <v>13</v>
      </c>
      <c r="G247" s="2">
        <v>989.05</v>
      </c>
      <c r="H247" s="2">
        <v>998.4</v>
      </c>
      <c r="I247" s="2">
        <v>960</v>
      </c>
      <c r="J247" s="2">
        <v>992.35</v>
      </c>
      <c r="K247" s="2">
        <v>966.6</v>
      </c>
      <c r="L247" s="2">
        <v>965.8</v>
      </c>
      <c r="M247" s="2">
        <v>977.81</v>
      </c>
      <c r="N247" s="2">
        <v>1269</v>
      </c>
      <c r="O247" s="2">
        <v>882.9</v>
      </c>
      <c r="P247" s="2">
        <v>1806238</v>
      </c>
      <c r="Q247" s="2">
        <v>68419</v>
      </c>
      <c r="R247" s="2">
        <f>Table1[[#This Row],[HIGH]]-Table1[[#This Row],[LOW]]</f>
        <v>38.399999999999977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800F-B7F7-4815-AB60-67BCDACC0C17}">
  <dimension ref="A1:Y72"/>
  <sheetViews>
    <sheetView topLeftCell="A39" zoomScale="23" zoomScaleNormal="20" workbookViewId="0">
      <selection activeCell="H66" sqref="H66:J72"/>
    </sheetView>
  </sheetViews>
  <sheetFormatPr defaultColWidth="21.26953125" defaultRowHeight="14.5" x14ac:dyDescent="0.35"/>
  <cols>
    <col min="1" max="1" width="25.54296875" bestFit="1" customWidth="1"/>
    <col min="2" max="2" width="22.26953125" bestFit="1" customWidth="1"/>
    <col min="3" max="3" width="23.36328125" bestFit="1" customWidth="1"/>
    <col min="4" max="4" width="20.26953125" bestFit="1" customWidth="1"/>
    <col min="5" max="5" width="17.6328125" bestFit="1" customWidth="1"/>
    <col min="6" max="6" width="16.7265625" bestFit="1" customWidth="1"/>
    <col min="7" max="7" width="29.1796875" bestFit="1" customWidth="1"/>
    <col min="8" max="8" width="20.26953125" bestFit="1" customWidth="1"/>
    <col min="9" max="9" width="22.26953125" bestFit="1" customWidth="1"/>
    <col min="10" max="10" width="23.36328125" bestFit="1" customWidth="1"/>
    <col min="11" max="11" width="16.36328125" bestFit="1" customWidth="1"/>
    <col min="24" max="24" width="20.26953125" bestFit="1" customWidth="1"/>
    <col min="25" max="25" width="20.90625" bestFit="1" customWidth="1"/>
    <col min="26" max="26" width="28" bestFit="1" customWidth="1"/>
  </cols>
  <sheetData>
    <row r="1" spans="1:25" x14ac:dyDescent="0.35">
      <c r="A1" t="s">
        <v>49</v>
      </c>
    </row>
    <row r="2" spans="1:25" x14ac:dyDescent="0.35">
      <c r="A2" s="5">
        <v>1269</v>
      </c>
    </row>
    <row r="3" spans="1:25" x14ac:dyDescent="0.35">
      <c r="D3" s="3" t="s">
        <v>19</v>
      </c>
      <c r="E3" t="s">
        <v>49</v>
      </c>
      <c r="F3" t="s">
        <v>58</v>
      </c>
    </row>
    <row r="4" spans="1:25" x14ac:dyDescent="0.35">
      <c r="A4" t="s">
        <v>58</v>
      </c>
      <c r="D4" s="4" t="s">
        <v>29</v>
      </c>
      <c r="E4">
        <v>1269</v>
      </c>
      <c r="F4">
        <v>882.9</v>
      </c>
    </row>
    <row r="5" spans="1:25" x14ac:dyDescent="0.35">
      <c r="A5" s="5">
        <v>882.9</v>
      </c>
      <c r="D5" s="4" t="s">
        <v>30</v>
      </c>
      <c r="E5">
        <v>1262.5999999999999</v>
      </c>
      <c r="F5">
        <v>882.9</v>
      </c>
    </row>
    <row r="6" spans="1:25" x14ac:dyDescent="0.35">
      <c r="D6" s="4" t="s">
        <v>31</v>
      </c>
      <c r="E6">
        <v>1262.5999999999999</v>
      </c>
      <c r="F6">
        <v>882.9</v>
      </c>
    </row>
    <row r="7" spans="1:25" x14ac:dyDescent="0.35">
      <c r="A7" t="s">
        <v>52</v>
      </c>
      <c r="D7" s="4" t="s">
        <v>21</v>
      </c>
      <c r="E7">
        <v>1213.6500000000001</v>
      </c>
      <c r="F7">
        <v>882.9</v>
      </c>
    </row>
    <row r="8" spans="1:25" x14ac:dyDescent="0.35">
      <c r="A8" s="5">
        <v>1100.8020325203252</v>
      </c>
      <c r="D8" s="4" t="s">
        <v>20</v>
      </c>
      <c r="E8">
        <v>1269</v>
      </c>
      <c r="F8">
        <v>882.9</v>
      </c>
    </row>
    <row r="10" spans="1:25" x14ac:dyDescent="0.35">
      <c r="A10" t="s">
        <v>59</v>
      </c>
      <c r="E10" s="3" t="s">
        <v>19</v>
      </c>
      <c r="F10" t="s">
        <v>18</v>
      </c>
      <c r="G10" t="s">
        <v>51</v>
      </c>
    </row>
    <row r="11" spans="1:25" x14ac:dyDescent="0.35">
      <c r="A11" s="5">
        <v>1212.5999999999999</v>
      </c>
      <c r="E11" s="4" t="s">
        <v>32</v>
      </c>
      <c r="F11">
        <v>41983897</v>
      </c>
      <c r="G11">
        <v>33.19736842105263</v>
      </c>
    </row>
    <row r="12" spans="1:25" x14ac:dyDescent="0.35">
      <c r="E12" s="4" t="s">
        <v>33</v>
      </c>
      <c r="F12">
        <v>14161536</v>
      </c>
      <c r="G12">
        <v>19.578947368421076</v>
      </c>
    </row>
    <row r="13" spans="1:25" x14ac:dyDescent="0.35">
      <c r="A13" t="s">
        <v>60</v>
      </c>
      <c r="E13" s="4" t="s">
        <v>23</v>
      </c>
      <c r="F13">
        <v>18708508</v>
      </c>
      <c r="G13">
        <v>20.404545454545481</v>
      </c>
    </row>
    <row r="14" spans="1:25" x14ac:dyDescent="0.35">
      <c r="A14" s="5">
        <v>1349305.4918699188</v>
      </c>
      <c r="E14" s="4" t="s">
        <v>34</v>
      </c>
      <c r="F14">
        <v>28015615</v>
      </c>
      <c r="G14">
        <v>22.539473684210531</v>
      </c>
      <c r="X14" s="3" t="s">
        <v>19</v>
      </c>
      <c r="Y14" t="s">
        <v>18</v>
      </c>
    </row>
    <row r="15" spans="1:25" x14ac:dyDescent="0.35">
      <c r="E15" s="4" t="s">
        <v>35</v>
      </c>
      <c r="F15">
        <v>27999285</v>
      </c>
      <c r="G15">
        <v>27.64285714285716</v>
      </c>
      <c r="X15" s="4" t="s">
        <v>47</v>
      </c>
      <c r="Y15">
        <v>14161536</v>
      </c>
    </row>
    <row r="16" spans="1:25" x14ac:dyDescent="0.35">
      <c r="E16" s="4" t="s">
        <v>36</v>
      </c>
      <c r="F16">
        <v>27808575</v>
      </c>
      <c r="G16">
        <v>21.891304347826086</v>
      </c>
      <c r="X16" s="4" t="s">
        <v>28</v>
      </c>
      <c r="Y16">
        <v>18708508</v>
      </c>
    </row>
    <row r="17" spans="5:25" x14ac:dyDescent="0.35">
      <c r="E17" s="4" t="s">
        <v>37</v>
      </c>
      <c r="F17">
        <v>21936933</v>
      </c>
      <c r="G17">
        <v>20.919047619047639</v>
      </c>
      <c r="X17" s="4" t="s">
        <v>45</v>
      </c>
      <c r="Y17">
        <v>21936933</v>
      </c>
    </row>
    <row r="18" spans="5:25" x14ac:dyDescent="0.35">
      <c r="E18" s="4" t="s">
        <v>38</v>
      </c>
      <c r="F18">
        <v>36205046</v>
      </c>
      <c r="G18">
        <v>20.265789473684208</v>
      </c>
      <c r="X18" s="4" t="s">
        <v>26</v>
      </c>
      <c r="Y18">
        <v>24032443</v>
      </c>
    </row>
    <row r="19" spans="5:25" x14ac:dyDescent="0.35">
      <c r="E19" s="4" t="s">
        <v>39</v>
      </c>
      <c r="F19">
        <v>27302754</v>
      </c>
      <c r="G19">
        <v>26.319047619047609</v>
      </c>
      <c r="X19" s="4" t="s">
        <v>48</v>
      </c>
      <c r="Y19">
        <v>27171262</v>
      </c>
    </row>
    <row r="20" spans="5:25" x14ac:dyDescent="0.35">
      <c r="E20" s="4" t="s">
        <v>24</v>
      </c>
      <c r="F20">
        <v>36603297</v>
      </c>
      <c r="G20">
        <v>27.05263157894737</v>
      </c>
      <c r="X20" s="4" t="s">
        <v>39</v>
      </c>
      <c r="Y20">
        <v>27302754</v>
      </c>
    </row>
    <row r="21" spans="5:25" x14ac:dyDescent="0.35">
      <c r="E21" s="4" t="s">
        <v>25</v>
      </c>
      <c r="F21">
        <v>24032443</v>
      </c>
      <c r="G21">
        <v>21.966666666666697</v>
      </c>
      <c r="X21" s="4" t="s">
        <v>46</v>
      </c>
      <c r="Y21">
        <v>27808575</v>
      </c>
    </row>
    <row r="22" spans="5:25" x14ac:dyDescent="0.35">
      <c r="E22" s="4" t="s">
        <v>40</v>
      </c>
      <c r="F22">
        <v>27171262</v>
      </c>
      <c r="G22">
        <v>22.00454545454544</v>
      </c>
      <c r="X22" s="4" t="s">
        <v>41</v>
      </c>
      <c r="Y22">
        <v>27999285</v>
      </c>
    </row>
    <row r="23" spans="5:25" x14ac:dyDescent="0.35">
      <c r="E23" s="4" t="s">
        <v>20</v>
      </c>
      <c r="F23">
        <v>331929151</v>
      </c>
      <c r="G23">
        <v>23.578658536585365</v>
      </c>
      <c r="X23" s="4" t="s">
        <v>42</v>
      </c>
      <c r="Y23">
        <v>28015615</v>
      </c>
    </row>
    <row r="24" spans="5:25" x14ac:dyDescent="0.35">
      <c r="X24" s="4" t="s">
        <v>43</v>
      </c>
      <c r="Y24">
        <v>36205046</v>
      </c>
    </row>
    <row r="25" spans="5:25" x14ac:dyDescent="0.35">
      <c r="X25" s="4" t="s">
        <v>27</v>
      </c>
      <c r="Y25">
        <v>36603297</v>
      </c>
    </row>
    <row r="26" spans="5:25" x14ac:dyDescent="0.35">
      <c r="X26" s="4" t="s">
        <v>44</v>
      </c>
      <c r="Y26">
        <v>41983897</v>
      </c>
    </row>
    <row r="27" spans="5:25" x14ac:dyDescent="0.35">
      <c r="X27" s="4" t="s">
        <v>20</v>
      </c>
      <c r="Y27">
        <v>331929151</v>
      </c>
    </row>
    <row r="40" spans="1:3" x14ac:dyDescent="0.35">
      <c r="A40" s="3" t="s">
        <v>19</v>
      </c>
      <c r="B40" t="s">
        <v>52</v>
      </c>
      <c r="C40" t="s">
        <v>53</v>
      </c>
    </row>
    <row r="41" spans="1:3" x14ac:dyDescent="0.35">
      <c r="A41" s="4" t="s">
        <v>41</v>
      </c>
      <c r="B41">
        <v>1133.7</v>
      </c>
      <c r="C41">
        <v>1133.5523809523809</v>
      </c>
    </row>
    <row r="42" spans="1:3" x14ac:dyDescent="0.35">
      <c r="A42" s="4" t="s">
        <v>42</v>
      </c>
      <c r="B42">
        <v>1020.9684210526317</v>
      </c>
      <c r="C42">
        <v>1016.5315789473683</v>
      </c>
    </row>
    <row r="43" spans="1:3" x14ac:dyDescent="0.35">
      <c r="A43" s="4" t="s">
        <v>43</v>
      </c>
      <c r="B43">
        <v>958.39210526315799</v>
      </c>
      <c r="C43">
        <v>959.71578947368414</v>
      </c>
    </row>
    <row r="44" spans="1:3" x14ac:dyDescent="0.35">
      <c r="A44" s="4" t="s">
        <v>44</v>
      </c>
      <c r="B44">
        <v>1098.7815789473684</v>
      </c>
      <c r="C44">
        <v>1108.5657894736842</v>
      </c>
    </row>
    <row r="45" spans="1:3" x14ac:dyDescent="0.35">
      <c r="A45" s="4" t="s">
        <v>39</v>
      </c>
      <c r="B45">
        <v>1136.5952380952381</v>
      </c>
      <c r="C45">
        <v>1135.9714285714285</v>
      </c>
    </row>
    <row r="46" spans="1:3" x14ac:dyDescent="0.35">
      <c r="A46" s="4" t="s">
        <v>45</v>
      </c>
      <c r="B46">
        <v>1103.1904761904761</v>
      </c>
      <c r="C46">
        <v>1105.3285714285714</v>
      </c>
    </row>
    <row r="47" spans="1:3" x14ac:dyDescent="0.35">
      <c r="A47" s="4" t="s">
        <v>46</v>
      </c>
      <c r="B47">
        <v>1084.2565217391304</v>
      </c>
      <c r="C47">
        <v>1082.8434782608697</v>
      </c>
    </row>
    <row r="48" spans="1:3" x14ac:dyDescent="0.35">
      <c r="A48" s="4" t="s">
        <v>47</v>
      </c>
      <c r="B48">
        <v>1068.6000000000001</v>
      </c>
      <c r="C48">
        <v>1068.4894736842105</v>
      </c>
    </row>
    <row r="49" spans="1:3" x14ac:dyDescent="0.35">
      <c r="A49" s="4" t="s">
        <v>48</v>
      </c>
      <c r="B49">
        <v>1106.2227272727273</v>
      </c>
      <c r="C49">
        <v>1108.3500000000001</v>
      </c>
    </row>
    <row r="50" spans="1:3" x14ac:dyDescent="0.35">
      <c r="A50" s="4" t="s">
        <v>26</v>
      </c>
      <c r="B50">
        <v>1144.7714285714287</v>
      </c>
      <c r="C50">
        <v>1147.5857142857142</v>
      </c>
    </row>
    <row r="51" spans="1:3" x14ac:dyDescent="0.35">
      <c r="A51" s="4" t="s">
        <v>27</v>
      </c>
      <c r="B51">
        <v>1170.4421052631581</v>
      </c>
      <c r="C51">
        <v>1171.5315789473684</v>
      </c>
    </row>
    <row r="52" spans="1:3" x14ac:dyDescent="0.35">
      <c r="A52" s="4" t="s">
        <v>28</v>
      </c>
      <c r="B52">
        <v>1164.2090909090909</v>
      </c>
      <c r="C52">
        <v>1165.8818181818183</v>
      </c>
    </row>
    <row r="53" spans="1:3" x14ac:dyDescent="0.35">
      <c r="A53" s="4" t="s">
        <v>20</v>
      </c>
      <c r="B53">
        <v>1100.8020325203252</v>
      </c>
      <c r="C53">
        <v>1101.9575203252032</v>
      </c>
    </row>
    <row r="66" spans="8:10" x14ac:dyDescent="0.35">
      <c r="H66" s="3" t="s">
        <v>19</v>
      </c>
      <c r="I66" t="s">
        <v>52</v>
      </c>
      <c r="J66" t="s">
        <v>53</v>
      </c>
    </row>
    <row r="67" spans="8:10" x14ac:dyDescent="0.35">
      <c r="H67" s="4" t="s">
        <v>55</v>
      </c>
      <c r="I67">
        <v>1106.0765306122448</v>
      </c>
      <c r="J67">
        <v>1106.295918367347</v>
      </c>
    </row>
    <row r="68" spans="8:10" x14ac:dyDescent="0.35">
      <c r="H68" s="4" t="s">
        <v>56</v>
      </c>
      <c r="I68">
        <v>1099.1510000000001</v>
      </c>
      <c r="J68">
        <v>1103.144</v>
      </c>
    </row>
    <row r="69" spans="8:10" x14ac:dyDescent="0.35">
      <c r="H69" s="4" t="s">
        <v>57</v>
      </c>
      <c r="I69">
        <v>1098.9978723404256</v>
      </c>
      <c r="J69">
        <v>1097.7446808510638</v>
      </c>
    </row>
    <row r="70" spans="8:10" x14ac:dyDescent="0.35">
      <c r="H70" s="4" t="s">
        <v>54</v>
      </c>
      <c r="I70">
        <v>1101.375</v>
      </c>
      <c r="J70">
        <v>1100.1288461538461</v>
      </c>
    </row>
    <row r="71" spans="8:10" x14ac:dyDescent="0.35">
      <c r="H71" s="4" t="s">
        <v>22</v>
      </c>
      <c r="I71">
        <v>1098.2833333333333</v>
      </c>
      <c r="J71">
        <v>1102.3989583333334</v>
      </c>
    </row>
    <row r="72" spans="8:10" x14ac:dyDescent="0.35">
      <c r="H72" s="4" t="s">
        <v>20</v>
      </c>
      <c r="I72">
        <v>1100.8020325203252</v>
      </c>
      <c r="J72">
        <v>1101.9575203252032</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1750-C028-42CB-B107-19AF71247B1C}">
  <dimension ref="A1"/>
  <sheetViews>
    <sheetView tabSelected="1" topLeftCell="A17" zoomScale="55" zoomScaleNormal="43" workbookViewId="0">
      <selection activeCell="AF14" sqref="AF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FD16E758-4154-49A1-9A92-BD7CEB0CDD8A}">
  <ds:schemaRefs/>
</ds:datastoreItem>
</file>

<file path=customXml/itemProps2.xml><?xml version="1.0" encoding="utf-8"?>
<ds:datastoreItem xmlns:ds="http://schemas.openxmlformats.org/officeDocument/2006/customXml" ds:itemID="{9033F4A5-6E39-453F-9635-92D47575A678}">
  <ds:schemaRefs/>
</ds:datastoreItem>
</file>

<file path=customXml/itemProps3.xml><?xml version="1.0" encoding="utf-8"?>
<ds:datastoreItem xmlns:ds="http://schemas.openxmlformats.org/officeDocument/2006/customXml" ds:itemID="{C6C245F0-F36C-4F77-9DC6-D61D3C20E38C}">
  <ds:schemaRefs/>
</ds:datastoreItem>
</file>

<file path=customXml/itemProps4.xml><?xml version="1.0" encoding="utf-8"?>
<ds:datastoreItem xmlns:ds="http://schemas.openxmlformats.org/officeDocument/2006/customXml" ds:itemID="{FB2DFD6A-06FE-401D-834C-6D885B405F41}">
  <ds:schemaRefs/>
</ds:datastoreItem>
</file>

<file path=customXml/itemProps5.xml><?xml version="1.0" encoding="utf-8"?>
<ds:datastoreItem xmlns:ds="http://schemas.openxmlformats.org/officeDocument/2006/customXml" ds:itemID="{933C70BA-8518-47FB-9AA5-BBF7289572BA}">
  <ds:schemaRefs/>
</ds:datastoreItem>
</file>

<file path=customXml/itemProps6.xml><?xml version="1.0" encoding="utf-8"?>
<ds:datastoreItem xmlns:ds="http://schemas.openxmlformats.org/officeDocument/2006/customXml" ds:itemID="{9832EA17-1227-4B96-84E7-5E4D9F9A4D80}">
  <ds:schemaRefs/>
</ds:datastoreItem>
</file>

<file path=customXml/itemProps7.xml><?xml version="1.0" encoding="utf-8"?>
<ds:datastoreItem xmlns:ds="http://schemas.openxmlformats.org/officeDocument/2006/customXml" ds:itemID="{7AD538F3-02B6-43F7-AD6B-BC6DA1DEF2DD}">
  <ds:schemaRefs/>
</ds:datastoreItem>
</file>

<file path=customXml/itemProps8.xml><?xml version="1.0" encoding="utf-8"?>
<ds:datastoreItem xmlns:ds="http://schemas.openxmlformats.org/officeDocument/2006/customXml" ds:itemID="{527BB762-552C-447D-9304-136E38B79288}">
  <ds:schemaRefs/>
</ds:datastoreItem>
</file>

<file path=customXml/itemProps9.xml><?xml version="1.0" encoding="utf-8"?>
<ds:datastoreItem xmlns:ds="http://schemas.openxmlformats.org/officeDocument/2006/customXml" ds:itemID="{E039CD6C-ED5F-4A26-8B77-5E6D9DC22E9B}">
  <ds:schemaRefs/>
</ds:datastoreItem>
</file>

<file path=customXml/itemProps10.xml><?xml version="1.0" encoding="utf-8"?>
<ds:datastoreItem xmlns:ds="http://schemas.openxmlformats.org/officeDocument/2006/customXml" ds:itemID="{97629105-54DF-4115-96BC-CF40C804D878}">
  <ds:schemaRefs/>
</ds:datastoreItem>
</file>

<file path=customXml/itemProps11.xml><?xml version="1.0" encoding="utf-8"?>
<ds:datastoreItem xmlns:ds="http://schemas.openxmlformats.org/officeDocument/2006/customXml" ds:itemID="{B6B9F748-A5F5-41D8-A2A4-7C5B07052715}">
  <ds:schemaRefs/>
</ds:datastoreItem>
</file>

<file path=customXml/itemProps12.xml><?xml version="1.0" encoding="utf-8"?>
<ds:datastoreItem xmlns:ds="http://schemas.openxmlformats.org/officeDocument/2006/customXml" ds:itemID="{4779564B-A2DE-4A01-B49E-7A5620C6C1FF}">
  <ds:schemaRefs/>
</ds:datastoreItem>
</file>

<file path=customXml/itemProps13.xml><?xml version="1.0" encoding="utf-8"?>
<ds:datastoreItem xmlns:ds="http://schemas.openxmlformats.org/officeDocument/2006/customXml" ds:itemID="{21DA6C1E-0861-41DA-B1A1-FFB7B6A70800}">
  <ds:schemaRefs/>
</ds:datastoreItem>
</file>

<file path=customXml/itemProps14.xml><?xml version="1.0" encoding="utf-8"?>
<ds:datastoreItem xmlns:ds="http://schemas.openxmlformats.org/officeDocument/2006/customXml" ds:itemID="{FDE10B2D-7EE7-40FD-9E2E-8838D62BE2AA}">
  <ds:schemaRefs/>
</ds:datastoreItem>
</file>

<file path=customXml/itemProps15.xml><?xml version="1.0" encoding="utf-8"?>
<ds:datastoreItem xmlns:ds="http://schemas.openxmlformats.org/officeDocument/2006/customXml" ds:itemID="{F2610C4F-A004-4196-9310-4950C896B129}">
  <ds:schemaRefs/>
</ds:datastoreItem>
</file>

<file path=customXml/itemProps16.xml><?xml version="1.0" encoding="utf-8"?>
<ds:datastoreItem xmlns:ds="http://schemas.openxmlformats.org/officeDocument/2006/customXml" ds:itemID="{359DAF79-54A3-440C-A4AC-A3B8F40E47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Quote-Equity-TATACONSUM-EQ-26-0</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Sejal Jadhav</cp:lastModifiedBy>
  <dcterms:created xsi:type="dcterms:W3CDTF">2026-01-26T15:16:19Z</dcterms:created>
  <dcterms:modified xsi:type="dcterms:W3CDTF">2026-02-02T09:24:15Z</dcterms:modified>
</cp:coreProperties>
</file>